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255" windowWidth="15180" windowHeight="8355" tabRatio="522" firstSheet="1" activeTab="3"/>
  </bookViews>
  <sheets>
    <sheet name="Release Plan" sheetId="7" state="hidden" r:id="rId1"/>
    <sheet name="Product Backlog" sheetId="8" r:id="rId2"/>
    <sheet name="PB Burndown" sheetId="20" state="hidden" r:id="rId3"/>
    <sheet name="Sp1" sheetId="19" r:id="rId4"/>
    <sheet name="Sprint Sheet Template" sheetId="16" r:id="rId5"/>
    <sheet name="Task Slips" sheetId="21" state="hidden" r:id="rId6"/>
    <sheet name="Sheet1" sheetId="22" state="hidden" r:id="rId7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'Sprint Sheet Template'!$D$11</definedName>
    <definedName name="DoneDays">#REF!</definedName>
    <definedName name="ImplementationDays" localSheetId="3">'Sp1'!$B$9</definedName>
    <definedName name="ImplementationDays" localSheetId="4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_xlnm.Print_Area" localSheetId="1">'Product Backlog'!$A:$G</definedName>
    <definedName name="_xlnm.Print_Area" localSheetId="5">'Task Slips'!#REF!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4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25725" fullCalcOnLoad="1"/>
</workbook>
</file>

<file path=xl/calcChain.xml><?xml version="1.0" encoding="utf-8"?>
<calcChain xmlns="http://schemas.openxmlformats.org/spreadsheetml/2006/main">
  <c r="F15" i="16"/>
  <c r="F15" i="19"/>
  <c r="A29" i="21"/>
  <c r="A21"/>
  <c r="A13"/>
  <c r="A5"/>
  <c r="G4" i="20"/>
  <c r="D10"/>
  <c r="P40" s="1"/>
  <c r="E16" i="7"/>
  <c r="E17"/>
  <c r="E18"/>
  <c r="E19"/>
  <c r="E20"/>
  <c r="B17"/>
  <c r="D16"/>
  <c r="B28" i="20"/>
  <c r="B29" s="1"/>
  <c r="E21" i="7"/>
  <c r="F28" i="20"/>
  <c r="G28" s="1"/>
  <c r="G5"/>
  <c r="G6" s="1"/>
  <c r="G14" i="19"/>
  <c r="H14"/>
  <c r="H62" s="1"/>
  <c r="I14"/>
  <c r="J14"/>
  <c r="D17" i="7"/>
  <c r="B18"/>
  <c r="B19" s="1"/>
  <c r="F18"/>
  <c r="F19"/>
  <c r="F20"/>
  <c r="F21" s="1"/>
  <c r="F22" s="1"/>
  <c r="F23" s="1"/>
  <c r="F24" s="1"/>
  <c r="F25" s="1"/>
  <c r="F26" s="1"/>
  <c r="F27" s="1"/>
  <c r="F28" s="1"/>
  <c r="F29" s="1"/>
  <c r="F30" s="1"/>
  <c r="B4"/>
  <c r="G17" i="20"/>
  <c r="A18"/>
  <c r="A8"/>
  <c r="D15"/>
  <c r="D17"/>
  <c r="D16"/>
  <c r="E28"/>
  <c r="H28"/>
  <c r="E31" i="7"/>
  <c r="B11" i="19"/>
  <c r="G10" s="1"/>
  <c r="D41"/>
  <c r="F41"/>
  <c r="D42"/>
  <c r="F42"/>
  <c r="D43"/>
  <c r="F43"/>
  <c r="D44"/>
  <c r="F44"/>
  <c r="D45"/>
  <c r="F45"/>
  <c r="D46"/>
  <c r="F46"/>
  <c r="D47"/>
  <c r="F47"/>
  <c r="D48"/>
  <c r="F48"/>
  <c r="D49"/>
  <c r="F49"/>
  <c r="D50"/>
  <c r="F50"/>
  <c r="D51"/>
  <c r="F51"/>
  <c r="D52"/>
  <c r="F52"/>
  <c r="D53"/>
  <c r="F53"/>
  <c r="D54"/>
  <c r="F54"/>
  <c r="D55"/>
  <c r="F55"/>
  <c r="D56"/>
  <c r="F56"/>
  <c r="D57"/>
  <c r="F57"/>
  <c r="D58"/>
  <c r="F58"/>
  <c r="D59"/>
  <c r="F59"/>
  <c r="D60"/>
  <c r="F60"/>
  <c r="D61"/>
  <c r="F61"/>
  <c r="D62"/>
  <c r="F62"/>
  <c r="G62"/>
  <c r="J62"/>
  <c r="D63"/>
  <c r="F63"/>
  <c r="G63"/>
  <c r="H63"/>
  <c r="I63"/>
  <c r="J63"/>
  <c r="D64"/>
  <c r="B11" i="16"/>
  <c r="P10" s="1"/>
  <c r="F16"/>
  <c r="F17"/>
  <c r="F18"/>
  <c r="E10" i="7"/>
  <c r="E9"/>
  <c r="E8"/>
  <c r="E7"/>
  <c r="E6"/>
  <c r="C4"/>
  <c r="B5" s="1"/>
  <c r="D5" s="1"/>
  <c r="C5"/>
  <c r="C6"/>
  <c r="D6" s="1"/>
  <c r="C7"/>
  <c r="D7" s="1"/>
  <c r="C8"/>
  <c r="D8" s="1"/>
  <c r="C9"/>
  <c r="D9" s="1"/>
  <c r="C10"/>
  <c r="D10" s="1"/>
  <c r="D4"/>
  <c r="G14" i="16"/>
  <c r="H14" s="1"/>
  <c r="D16"/>
  <c r="D17"/>
  <c r="D18"/>
  <c r="D19"/>
  <c r="F19"/>
  <c r="D20"/>
  <c r="F20"/>
  <c r="D21"/>
  <c r="F21"/>
  <c r="D22"/>
  <c r="F22"/>
  <c r="D23"/>
  <c r="F23"/>
  <c r="D24"/>
  <c r="F24"/>
  <c r="D25"/>
  <c r="F25"/>
  <c r="D26"/>
  <c r="F26"/>
  <c r="D27"/>
  <c r="F27"/>
  <c r="D28"/>
  <c r="F28"/>
  <c r="D29"/>
  <c r="F29"/>
  <c r="D30"/>
  <c r="F30"/>
  <c r="D31"/>
  <c r="F31"/>
  <c r="D32"/>
  <c r="F32"/>
  <c r="D33"/>
  <c r="F33"/>
  <c r="D34"/>
  <c r="F34"/>
  <c r="D35"/>
  <c r="F35"/>
  <c r="D36"/>
  <c r="F36"/>
  <c r="D37"/>
  <c r="F37"/>
  <c r="D38"/>
  <c r="F38"/>
  <c r="D39"/>
  <c r="F39"/>
  <c r="D40"/>
  <c r="F40"/>
  <c r="D41"/>
  <c r="F41"/>
  <c r="D42"/>
  <c r="F42"/>
  <c r="D43"/>
  <c r="F43"/>
  <c r="D44"/>
  <c r="F44"/>
  <c r="D45"/>
  <c r="F45"/>
  <c r="D46"/>
  <c r="F46"/>
  <c r="D47"/>
  <c r="F47"/>
  <c r="D48"/>
  <c r="F48"/>
  <c r="D49"/>
  <c r="F49"/>
  <c r="D50"/>
  <c r="F50"/>
  <c r="D51"/>
  <c r="F51"/>
  <c r="D52"/>
  <c r="F52"/>
  <c r="D53"/>
  <c r="F53"/>
  <c r="D54"/>
  <c r="F54"/>
  <c r="D55"/>
  <c r="F55"/>
  <c r="D56"/>
  <c r="F56"/>
  <c r="D57"/>
  <c r="F57"/>
  <c r="D58"/>
  <c r="F58"/>
  <c r="G58"/>
  <c r="D59"/>
  <c r="F59"/>
  <c r="G59"/>
  <c r="D64"/>
  <c r="X10" l="1"/>
  <c r="V10" i="19"/>
  <c r="M10"/>
  <c r="T10"/>
  <c r="U10"/>
  <c r="AA10"/>
  <c r="AB10"/>
  <c r="E10"/>
  <c r="H11" s="1"/>
  <c r="K10"/>
  <c r="L10"/>
  <c r="S10"/>
  <c r="E5" i="7"/>
  <c r="E4"/>
  <c r="P29" i="20"/>
  <c r="P43"/>
  <c r="P33"/>
  <c r="P34"/>
  <c r="P38"/>
  <c r="P45"/>
  <c r="P50"/>
  <c r="P49"/>
  <c r="P32"/>
  <c r="P39"/>
  <c r="P42"/>
  <c r="P51"/>
  <c r="P41"/>
  <c r="P30"/>
  <c r="P46"/>
  <c r="P36"/>
  <c r="P47"/>
  <c r="P37"/>
  <c r="P48"/>
  <c r="P35"/>
  <c r="P31"/>
  <c r="D11"/>
  <c r="Q44" s="1"/>
  <c r="P28"/>
  <c r="P44"/>
  <c r="U10" i="16"/>
  <c r="W10"/>
  <c r="O10"/>
  <c r="G10"/>
  <c r="AD10"/>
  <c r="Y10"/>
  <c r="Q10"/>
  <c r="I10"/>
  <c r="K10"/>
  <c r="AB10"/>
  <c r="L10"/>
  <c r="AC10"/>
  <c r="M10"/>
  <c r="V10"/>
  <c r="Z10"/>
  <c r="R10"/>
  <c r="J10"/>
  <c r="E10"/>
  <c r="H11" s="1"/>
  <c r="F10"/>
  <c r="AA10"/>
  <c r="S10"/>
  <c r="T10"/>
  <c r="N10"/>
  <c r="B20" i="7"/>
  <c r="D19"/>
  <c r="H58" i="16"/>
  <c r="I14"/>
  <c r="H59"/>
  <c r="E29" i="20"/>
  <c r="B30"/>
  <c r="F29"/>
  <c r="I29"/>
  <c r="H29" s="1"/>
  <c r="H10" i="16"/>
  <c r="K14" i="19"/>
  <c r="X10"/>
  <c r="P10"/>
  <c r="H10"/>
  <c r="D18" i="7"/>
  <c r="K28" i="20"/>
  <c r="Y10" i="19"/>
  <c r="Q10"/>
  <c r="I10"/>
  <c r="I62"/>
  <c r="Z10"/>
  <c r="R10"/>
  <c r="J10"/>
  <c r="D8" i="20"/>
  <c r="N10" i="19"/>
  <c r="F10"/>
  <c r="W10"/>
  <c r="O10"/>
  <c r="F11" l="1"/>
  <c r="J11"/>
  <c r="I11"/>
  <c r="G11"/>
  <c r="Q36" i="20"/>
  <c r="Q31"/>
  <c r="Q35"/>
  <c r="Q48"/>
  <c r="Q39"/>
  <c r="Q43"/>
  <c r="Q28"/>
  <c r="Q30"/>
  <c r="Q34"/>
  <c r="Q47"/>
  <c r="Q51"/>
  <c r="Q38"/>
  <c r="Q42"/>
  <c r="Q33"/>
  <c r="Q46"/>
  <c r="Q50"/>
  <c r="Q32"/>
  <c r="Q45"/>
  <c r="Q49"/>
  <c r="Q40"/>
  <c r="Q29"/>
  <c r="Q37"/>
  <c r="Q41"/>
  <c r="E30"/>
  <c r="I30"/>
  <c r="F30"/>
  <c r="B31"/>
  <c r="G29"/>
  <c r="K29"/>
  <c r="F11" i="16"/>
  <c r="G11"/>
  <c r="D11"/>
  <c r="I58"/>
  <c r="J14"/>
  <c r="I11"/>
  <c r="I59"/>
  <c r="L14" i="19"/>
  <c r="K62"/>
  <c r="K11"/>
  <c r="K63"/>
  <c r="D20" i="7"/>
  <c r="B21"/>
  <c r="D13" i="16" l="1"/>
  <c r="Y12" s="1"/>
  <c r="F13"/>
  <c r="N35" i="20"/>
  <c r="N43"/>
  <c r="N51"/>
  <c r="N50"/>
  <c r="N33"/>
  <c r="N32"/>
  <c r="N40"/>
  <c r="N48"/>
  <c r="N31"/>
  <c r="N39"/>
  <c r="N47"/>
  <c r="N30"/>
  <c r="N38"/>
  <c r="N46"/>
  <c r="H30"/>
  <c r="N42"/>
  <c r="N49"/>
  <c r="N29"/>
  <c r="N37"/>
  <c r="N45"/>
  <c r="N36"/>
  <c r="N44"/>
  <c r="N28"/>
  <c r="N34"/>
  <c r="N41"/>
  <c r="L63" i="19"/>
  <c r="L62"/>
  <c r="L11"/>
  <c r="M14"/>
  <c r="K30" i="20"/>
  <c r="G30"/>
  <c r="J59" i="16"/>
  <c r="J58"/>
  <c r="J11"/>
  <c r="K14"/>
  <c r="F31" i="20"/>
  <c r="I31"/>
  <c r="H31" s="1"/>
  <c r="E31"/>
  <c r="B32"/>
  <c r="L31"/>
  <c r="D21" i="7"/>
  <c r="B22"/>
  <c r="N12" i="16" l="1"/>
  <c r="U12"/>
  <c r="V12"/>
  <c r="Z12"/>
  <c r="R12"/>
  <c r="F12"/>
  <c r="P12"/>
  <c r="X12"/>
  <c r="L28" i="20"/>
  <c r="M28" s="1"/>
  <c r="L39"/>
  <c r="L46"/>
  <c r="L49"/>
  <c r="L42"/>
  <c r="L41"/>
  <c r="L29"/>
  <c r="L45"/>
  <c r="L33"/>
  <c r="L35"/>
  <c r="L37"/>
  <c r="L36"/>
  <c r="E32"/>
  <c r="B33"/>
  <c r="F32"/>
  <c r="I32"/>
  <c r="H32" s="1"/>
  <c r="L38"/>
  <c r="M38" s="1"/>
  <c r="B23" i="7"/>
  <c r="D22"/>
  <c r="A22"/>
  <c r="E22" s="1"/>
  <c r="L44" i="20"/>
  <c r="L30"/>
  <c r="O12" i="16"/>
  <c r="M12"/>
  <c r="S12"/>
  <c r="L48" i="20"/>
  <c r="L47"/>
  <c r="W12" i="16"/>
  <c r="AC12"/>
  <c r="AA12"/>
  <c r="L14"/>
  <c r="K11"/>
  <c r="K58"/>
  <c r="K59"/>
  <c r="G31" i="20"/>
  <c r="K31"/>
  <c r="L34"/>
  <c r="L43"/>
  <c r="L32"/>
  <c r="M32" s="1"/>
  <c r="L51"/>
  <c r="AD12" i="16"/>
  <c r="T12"/>
  <c r="Q12"/>
  <c r="M62" i="19"/>
  <c r="N14"/>
  <c r="M63"/>
  <c r="M11"/>
  <c r="J12" i="16"/>
  <c r="G12"/>
  <c r="K12"/>
  <c r="L40" i="20"/>
  <c r="L12" i="16"/>
  <c r="I12"/>
  <c r="L50" i="20"/>
  <c r="AB12" i="16"/>
  <c r="H12"/>
  <c r="M30" i="20" l="1"/>
  <c r="M44"/>
  <c r="M41"/>
  <c r="M43"/>
  <c r="M51"/>
  <c r="M48"/>
  <c r="M37"/>
  <c r="M46"/>
  <c r="M31"/>
  <c r="M35"/>
  <c r="M47"/>
  <c r="M36"/>
  <c r="M49"/>
  <c r="M40"/>
  <c r="M42"/>
  <c r="E33"/>
  <c r="B34"/>
  <c r="I33"/>
  <c r="H33" s="1"/>
  <c r="F33"/>
  <c r="N62" i="19"/>
  <c r="N11"/>
  <c r="O14"/>
  <c r="N63"/>
  <c r="K32" i="20"/>
  <c r="G32"/>
  <c r="M33"/>
  <c r="M39"/>
  <c r="M34"/>
  <c r="M29"/>
  <c r="D12" s="1"/>
  <c r="B24" i="7"/>
  <c r="A23"/>
  <c r="E23" s="1"/>
  <c r="D23"/>
  <c r="L59" i="16"/>
  <c r="L58"/>
  <c r="M14"/>
  <c r="L11"/>
  <c r="M50" i="20"/>
  <c r="M45"/>
  <c r="D22" l="1"/>
  <c r="N14" i="16"/>
  <c r="M11"/>
  <c r="M59"/>
  <c r="M58"/>
  <c r="K33" i="20"/>
  <c r="G33"/>
  <c r="P14" i="19"/>
  <c r="O63"/>
  <c r="O62"/>
  <c r="O11"/>
  <c r="B35" i="20"/>
  <c r="E34"/>
  <c r="F34"/>
  <c r="I34"/>
  <c r="H34" s="1"/>
  <c r="G9"/>
  <c r="A24" i="7"/>
  <c r="E24" s="1"/>
  <c r="B25"/>
  <c r="D24"/>
  <c r="I35" i="20" l="1"/>
  <c r="H35" s="1"/>
  <c r="B36"/>
  <c r="E35"/>
  <c r="F35"/>
  <c r="B26" i="7"/>
  <c r="A25"/>
  <c r="E25" s="1"/>
  <c r="D25"/>
  <c r="Q14" i="19"/>
  <c r="P62"/>
  <c r="P11"/>
  <c r="P63"/>
  <c r="N58" i="16"/>
  <c r="N11"/>
  <c r="O14"/>
  <c r="N59"/>
  <c r="G34" i="20"/>
  <c r="K34"/>
  <c r="B37" l="1"/>
  <c r="E36"/>
  <c r="F36"/>
  <c r="I36"/>
  <c r="H36" s="1"/>
  <c r="D26" i="7"/>
  <c r="B27"/>
  <c r="A26"/>
  <c r="E26" s="1"/>
  <c r="O59" i="16"/>
  <c r="O58"/>
  <c r="P14"/>
  <c r="O11"/>
  <c r="K35" i="20"/>
  <c r="G35"/>
  <c r="Q11" i="19"/>
  <c r="Q63"/>
  <c r="Q62"/>
  <c r="R14"/>
  <c r="S14" l="1"/>
  <c r="R63"/>
  <c r="R11"/>
  <c r="R62"/>
  <c r="P58" i="16"/>
  <c r="P11"/>
  <c r="P59"/>
  <c r="Q14"/>
  <c r="G36" i="20"/>
  <c r="K36"/>
  <c r="D27" i="7"/>
  <c r="B28"/>
  <c r="A27"/>
  <c r="E27" s="1"/>
  <c r="E37" i="20"/>
  <c r="F37"/>
  <c r="I37"/>
  <c r="H37" s="1"/>
  <c r="B38"/>
  <c r="E38" l="1"/>
  <c r="F38"/>
  <c r="I38"/>
  <c r="H38" s="1"/>
  <c r="B39"/>
  <c r="T14" i="19"/>
  <c r="S62"/>
  <c r="S11"/>
  <c r="S63"/>
  <c r="B29" i="7"/>
  <c r="D28"/>
  <c r="A28"/>
  <c r="E28" s="1"/>
  <c r="K37" i="20"/>
  <c r="G37"/>
  <c r="R14" i="16"/>
  <c r="Q59"/>
  <c r="Q58"/>
  <c r="Q11"/>
  <c r="D29" i="7" l="1"/>
  <c r="A29"/>
  <c r="E29" s="1"/>
  <c r="B30"/>
  <c r="I39" i="20"/>
  <c r="H39" s="1"/>
  <c r="B40"/>
  <c r="E39"/>
  <c r="F39"/>
  <c r="G3"/>
  <c r="T11" i="19"/>
  <c r="T62"/>
  <c r="U14"/>
  <c r="T63"/>
  <c r="G38" i="20"/>
  <c r="K38"/>
  <c r="R59" i="16"/>
  <c r="R11"/>
  <c r="R58"/>
  <c r="S14"/>
  <c r="D30" i="7" l="1"/>
  <c r="A30"/>
  <c r="E30" s="1"/>
  <c r="U62" i="19"/>
  <c r="V14"/>
  <c r="U63"/>
  <c r="U11"/>
  <c r="E40" i="20"/>
  <c r="I40"/>
  <c r="H40" s="1"/>
  <c r="B41"/>
  <c r="F40"/>
  <c r="K39"/>
  <c r="G39"/>
  <c r="T14" i="16"/>
  <c r="S11"/>
  <c r="S58"/>
  <c r="S59"/>
  <c r="G19" i="20"/>
  <c r="G20"/>
  <c r="D21"/>
  <c r="D9"/>
  <c r="D20"/>
  <c r="D18"/>
  <c r="O33" l="1"/>
  <c r="O41"/>
  <c r="O49"/>
  <c r="D23"/>
  <c r="O30"/>
  <c r="O38"/>
  <c r="O46"/>
  <c r="O35"/>
  <c r="O51"/>
  <c r="O32"/>
  <c r="O40"/>
  <c r="O48"/>
  <c r="O29"/>
  <c r="O37"/>
  <c r="O45"/>
  <c r="O34"/>
  <c r="O42"/>
  <c r="O50"/>
  <c r="O28"/>
  <c r="O31"/>
  <c r="O39"/>
  <c r="O47"/>
  <c r="D19"/>
  <c r="O43"/>
  <c r="O36"/>
  <c r="O44"/>
  <c r="D24"/>
  <c r="U14" i="16"/>
  <c r="T59"/>
  <c r="T58"/>
  <c r="T11"/>
  <c r="F41" i="20"/>
  <c r="B42"/>
  <c r="I41"/>
  <c r="H41" s="1"/>
  <c r="E41"/>
  <c r="K40"/>
  <c r="G40"/>
  <c r="V62" i="19"/>
  <c r="V11"/>
  <c r="W14"/>
  <c r="V63"/>
  <c r="I42" i="20" l="1"/>
  <c r="H42" s="1"/>
  <c r="B43"/>
  <c r="E42"/>
  <c r="F42"/>
  <c r="V14" i="16"/>
  <c r="U59"/>
  <c r="U11"/>
  <c r="U58"/>
  <c r="X14" i="19"/>
  <c r="W63"/>
  <c r="W62"/>
  <c r="W11"/>
  <c r="K41" i="20"/>
  <c r="G41"/>
  <c r="X11" i="19" l="1"/>
  <c r="Y14"/>
  <c r="X62"/>
  <c r="X63"/>
  <c r="V59" i="16"/>
  <c r="V58"/>
  <c r="V11"/>
  <c r="W14"/>
  <c r="I43" i="20"/>
  <c r="H43" s="1"/>
  <c r="B44"/>
  <c r="E43"/>
  <c r="F43"/>
  <c r="G42"/>
  <c r="K42"/>
  <c r="E44" l="1"/>
  <c r="F44"/>
  <c r="B45"/>
  <c r="I44"/>
  <c r="H44" s="1"/>
  <c r="K43"/>
  <c r="G43"/>
  <c r="Y11" i="19"/>
  <c r="Y63"/>
  <c r="Y62"/>
  <c r="Z14"/>
  <c r="W59" i="16"/>
  <c r="W58"/>
  <c r="X14"/>
  <c r="W11"/>
  <c r="F45" i="20" l="1"/>
  <c r="B46"/>
  <c r="E45"/>
  <c r="I45"/>
  <c r="H45" s="1"/>
  <c r="Z11" i="19"/>
  <c r="AA14"/>
  <c r="Z63"/>
  <c r="Z62"/>
  <c r="X11" i="16"/>
  <c r="Y14"/>
  <c r="X59"/>
  <c r="X58"/>
  <c r="K44" i="20"/>
  <c r="G44"/>
  <c r="Y58" i="16" l="1"/>
  <c r="Z14"/>
  <c r="Y11"/>
  <c r="Y59"/>
  <c r="AB14" i="19"/>
  <c r="AA63"/>
  <c r="AA62"/>
  <c r="AA11"/>
  <c r="G45" i="20"/>
  <c r="K45"/>
  <c r="B47"/>
  <c r="F46"/>
  <c r="E46"/>
  <c r="I46"/>
  <c r="H46" s="1"/>
  <c r="B48" l="1"/>
  <c r="I47"/>
  <c r="H47" s="1"/>
  <c r="F47"/>
  <c r="E47"/>
  <c r="Z11" i="16"/>
  <c r="Z59"/>
  <c r="Z58"/>
  <c r="AA14"/>
  <c r="AB63" i="19"/>
  <c r="AB11"/>
  <c r="AC14"/>
  <c r="AB62"/>
  <c r="G46" i="20"/>
  <c r="K46"/>
  <c r="E48" l="1"/>
  <c r="F48"/>
  <c r="I48"/>
  <c r="H48" s="1"/>
  <c r="B49"/>
  <c r="K47"/>
  <c r="G47"/>
  <c r="AC39" i="19"/>
  <c r="AC20"/>
  <c r="AC30"/>
  <c r="AC19"/>
  <c r="AC29"/>
  <c r="AC17"/>
  <c r="AC10" s="1"/>
  <c r="AC28"/>
  <c r="AC27"/>
  <c r="AC41"/>
  <c r="AC43"/>
  <c r="AC45"/>
  <c r="AC47"/>
  <c r="AC49"/>
  <c r="AC51"/>
  <c r="AC53"/>
  <c r="AC55"/>
  <c r="AC57"/>
  <c r="AC59"/>
  <c r="AC61"/>
  <c r="AC26"/>
  <c r="AC37"/>
  <c r="AD14"/>
  <c r="AC23"/>
  <c r="AC33"/>
  <c r="AC22"/>
  <c r="AC32"/>
  <c r="AC46"/>
  <c r="AC54"/>
  <c r="AC60"/>
  <c r="AC62"/>
  <c r="AC36"/>
  <c r="AC24"/>
  <c r="AC38"/>
  <c r="AC21"/>
  <c r="AC31"/>
  <c r="AC34"/>
  <c r="AC42"/>
  <c r="AC44"/>
  <c r="AC48"/>
  <c r="AC50"/>
  <c r="AC52"/>
  <c r="AC56"/>
  <c r="AC58"/>
  <c r="AC63"/>
  <c r="AC40"/>
  <c r="AC11"/>
  <c r="AB14" i="16"/>
  <c r="AA58"/>
  <c r="AA11"/>
  <c r="AA59"/>
  <c r="K48" i="20" l="1"/>
  <c r="G48"/>
  <c r="AB59" i="16"/>
  <c r="AB58"/>
  <c r="AC14"/>
  <c r="AB11"/>
  <c r="AD21" i="19"/>
  <c r="AD31"/>
  <c r="AD39"/>
  <c r="AD20"/>
  <c r="AD30"/>
  <c r="AD19"/>
  <c r="AD29"/>
  <c r="AD41"/>
  <c r="AD47"/>
  <c r="AD51"/>
  <c r="AD57"/>
  <c r="AD40"/>
  <c r="AD36"/>
  <c r="AD17"/>
  <c r="AD10" s="1"/>
  <c r="D11" s="1"/>
  <c r="AD28"/>
  <c r="AD11"/>
  <c r="AD27"/>
  <c r="AD24"/>
  <c r="AD37"/>
  <c r="AD26"/>
  <c r="AD23"/>
  <c r="AD33"/>
  <c r="AD34"/>
  <c r="AD42"/>
  <c r="AD44"/>
  <c r="AD46"/>
  <c r="AD48"/>
  <c r="AD50"/>
  <c r="AD52"/>
  <c r="AD54"/>
  <c r="AD56"/>
  <c r="AD58"/>
  <c r="AD60"/>
  <c r="AD63"/>
  <c r="AD62"/>
  <c r="AD45"/>
  <c r="AD53"/>
  <c r="AD59"/>
  <c r="AD38"/>
  <c r="AD22"/>
  <c r="AD32"/>
  <c r="AD43"/>
  <c r="AD49"/>
  <c r="AD55"/>
  <c r="AD61"/>
  <c r="F49" i="20"/>
  <c r="I49"/>
  <c r="H49" s="1"/>
  <c r="B50"/>
  <c r="E49"/>
  <c r="F13" i="19" l="1"/>
  <c r="D13"/>
  <c r="K49" i="20"/>
  <c r="G49"/>
  <c r="AC18" i="16"/>
  <c r="AC17"/>
  <c r="AD14"/>
  <c r="AC26"/>
  <c r="AC34"/>
  <c r="AC38"/>
  <c r="AC42"/>
  <c r="AC46"/>
  <c r="AC50"/>
  <c r="AC52"/>
  <c r="AC56"/>
  <c r="AC11"/>
  <c r="AC19"/>
  <c r="AC21"/>
  <c r="AC23"/>
  <c r="AC25"/>
  <c r="AC27"/>
  <c r="AC29"/>
  <c r="AC31"/>
  <c r="AC33"/>
  <c r="AC35"/>
  <c r="AC37"/>
  <c r="AC39"/>
  <c r="AC41"/>
  <c r="AC43"/>
  <c r="AC45"/>
  <c r="AC47"/>
  <c r="AC49"/>
  <c r="AC51"/>
  <c r="AC53"/>
  <c r="AC55"/>
  <c r="AC57"/>
  <c r="AC20"/>
  <c r="AC22"/>
  <c r="AC24"/>
  <c r="AC28"/>
  <c r="AC30"/>
  <c r="AC32"/>
  <c r="AC36"/>
  <c r="AC40"/>
  <c r="AC44"/>
  <c r="AC48"/>
  <c r="AC54"/>
  <c r="AC59"/>
  <c r="AC58"/>
  <c r="AC16"/>
  <c r="I50" i="20"/>
  <c r="H50" s="1"/>
  <c r="B51"/>
  <c r="E50"/>
  <c r="F50"/>
  <c r="F12" i="19" l="1"/>
  <c r="K12"/>
  <c r="N12"/>
  <c r="G12"/>
  <c r="T12"/>
  <c r="R12"/>
  <c r="Z12"/>
  <c r="AD12"/>
  <c r="AA12"/>
  <c r="I12"/>
  <c r="Q12"/>
  <c r="AC12"/>
  <c r="V12"/>
  <c r="O12"/>
  <c r="J12"/>
  <c r="S12"/>
  <c r="U12"/>
  <c r="H12"/>
  <c r="M12"/>
  <c r="W12"/>
  <c r="Y12"/>
  <c r="L12"/>
  <c r="P12"/>
  <c r="AB12"/>
  <c r="X12"/>
  <c r="I51" i="20"/>
  <c r="H51" s="1"/>
  <c r="F51"/>
  <c r="E51"/>
  <c r="G50"/>
  <c r="K50"/>
  <c r="AD20" i="16"/>
  <c r="AD24"/>
  <c r="AD30"/>
  <c r="AD34"/>
  <c r="AD36"/>
  <c r="AD42"/>
  <c r="AD46"/>
  <c r="AD54"/>
  <c r="AD58"/>
  <c r="AD11"/>
  <c r="AD19"/>
  <c r="AD21"/>
  <c r="AD23"/>
  <c r="AD25"/>
  <c r="AD27"/>
  <c r="AD29"/>
  <c r="AD31"/>
  <c r="AD33"/>
  <c r="AD35"/>
  <c r="AD37"/>
  <c r="AD39"/>
  <c r="AD41"/>
  <c r="AD43"/>
  <c r="AD45"/>
  <c r="AD47"/>
  <c r="AD49"/>
  <c r="AD51"/>
  <c r="AD53"/>
  <c r="AD55"/>
  <c r="AD57"/>
  <c r="AD17"/>
  <c r="AD22"/>
  <c r="AD26"/>
  <c r="AD32"/>
  <c r="AD38"/>
  <c r="AD44"/>
  <c r="AD48"/>
  <c r="AD52"/>
  <c r="AD18"/>
  <c r="AD16"/>
  <c r="AD28"/>
  <c r="AD40"/>
  <c r="AD50"/>
  <c r="AD56"/>
  <c r="AD59"/>
  <c r="G51" i="20" l="1"/>
  <c r="K51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<sst xmlns="http://schemas.openxmlformats.org/spreadsheetml/2006/main" count="182" uniqueCount="115">
  <si>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</si>
  <si>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</si>
  <si>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</si>
  <si>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</si>
  <si>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</si>
  <si>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</si>
  <si>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</si>
  <si>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</si>
  <si>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</si>
  <si>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</si>
  <si>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</si>
  <si>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</si>
  <si>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</si>
  <si>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</si>
  <si>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</si>
  <si>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</si>
  <si>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</si>
  <si>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</si>
  <si>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</si>
  <si>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</si>
  <si>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</si>
  <si>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</si>
  <si>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</si>
  <si>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</si>
  <si>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</si>
  <si>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</si>
  <si>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</si>
  <si>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</si>
  <si>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</si>
  <si>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</si>
  <si>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</si>
  <si>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</si>
  <si>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</si>
  <si>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</si>
  <si>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</si>
  <si>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</si>
  <si>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</si>
  <si>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</si>
  <si>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</si>
  <si>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</si>
  <si>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</si>
  <si>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</si>
  <si>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</si>
  <si>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</si>
  <si>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</si>
  <si>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</si>
  <si>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</si>
  <si>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</si>
  <si>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</si>
  <si>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</si>
  <si>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</si>
  <si>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</si>
  <si>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</si>
  <si>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</si>
  <si>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</si>
  <si>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</si>
  <si>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</si>
  <si>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</si>
  <si>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</si>
  <si>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</si>
  <si>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</si>
  <si>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</si>
  <si>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</si>
  <si>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</si>
  <si>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</si>
  <si>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</si>
  <si>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</si>
  <si>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</si>
  <si>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</si>
  <si>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</si>
  <si>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</si>
  <si>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</si>
  <si>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</si>
  <si>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</si>
  <si>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</si>
  <si>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</si>
  <si>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</si>
  <si>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</si>
  <si>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</si>
  <si>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</si>
  <si>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</si>
  <si>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</si>
  <si>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</si>
  <si>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</si>
  <si>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</si>
  <si>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This is a sample story</t>
  </si>
  <si>
    <t>This is another sample story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</si>
  <si>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</si>
  <si>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</si>
  <si>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</si>
  <si>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</si>
  <si>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</si>
  <si>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</si>
  <si>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</si>
  <si>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</si>
  <si>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</si>
  <si>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</si>
  <si>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</si>
  <si>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</si>
  <si>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</si>
  <si>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</si>
  <si>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</si>
  <si>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Skapa en bakgrund/bana</t>
  </si>
  <si>
    <t>Skapa en bakgrund/bana med ett "rymdigt" utseende.</t>
  </si>
  <si>
    <t>Skapa en spelare</t>
  </si>
  <si>
    <t>Skapa en spelare åt användaren. Spelaren ska kunna flyttas åt höger och vänster, framåt och bakåt.</t>
  </si>
  <si>
    <t>Skapa fiender</t>
  </si>
  <si>
    <t>Skapa finder som ska slumpas fram och röra sig i slumpmässiga mönster</t>
  </si>
  <si>
    <t xml:space="preserve">Implementera val av hastighet </t>
  </si>
  <si>
    <t>Användaren ska kunna välja hastighet på spelet. Bakgrund och fiender kommer att röra sig snabbare</t>
  </si>
  <si>
    <t>Poäng och highscore</t>
  </si>
  <si>
    <t>Lägg in states</t>
  </si>
  <si>
    <t>För varje fiende man dödar får man poäng. Den totala poängen blir din highscore</t>
  </si>
  <si>
    <t>Spelet ska bestå av olika states där varje state ska bli svårare och svårare</t>
  </si>
  <si>
    <t>Erik M</t>
  </si>
</sst>
</file>

<file path=xl/styles.xml><?xml version="1.0" encoding="utf-8"?>
<styleSheet xmlns="http://schemas.openxmlformats.org/spreadsheetml/2006/main">
  <numFmts count="4">
    <numFmt numFmtId="195" formatCode="d\.m\.yyyy;@"/>
    <numFmt numFmtId="196" formatCode="0.0"/>
    <numFmt numFmtId="197" formatCode="&quot;Sprint &quot;#&quot; Backlog&quot;"/>
    <numFmt numFmtId="198" formatCode="&quot;Last &quot;###&quot; sprints&quot;"/>
  </numFmts>
  <fonts count="1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97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97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95" fontId="0" fillId="2" borderId="0" xfId="0" applyNumberFormat="1" applyFill="1" applyBorder="1" applyAlignment="1">
      <alignment horizontal="center"/>
    </xf>
    <xf numFmtId="195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95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95" fontId="0" fillId="0" borderId="11" xfId="0" applyNumberFormat="1" applyBorder="1" applyAlignment="1">
      <alignment horizontal="center"/>
    </xf>
    <xf numFmtId="195" fontId="0" fillId="0" borderId="0" xfId="0" applyNumberFormat="1" applyBorder="1" applyAlignment="1">
      <alignment horizontal="center"/>
    </xf>
    <xf numFmtId="195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96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96" fontId="0" fillId="0" borderId="0" xfId="0" applyNumberFormat="1"/>
    <xf numFmtId="197" fontId="4" fillId="0" borderId="0" xfId="0" applyNumberFormat="1" applyFont="1" applyAlignment="1">
      <alignment horizontal="left" vertical="top"/>
    </xf>
    <xf numFmtId="197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198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sv-SE"/>
              <a:t>Velocity and Remaining Work</a:t>
            </a:r>
          </a:p>
        </c:rich>
      </c:tx>
      <c:layout>
        <c:manualLayout>
          <c:xMode val="edge"/>
          <c:yMode val="edge"/>
          <c:x val="0.20739240506329115"/>
          <c:y val="1.58228092594338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7"/>
                <c:pt idx="0">
                  <c:v>137.66666666666669</c:v>
                </c:pt>
                <c:pt idx="1">
                  <c:v>112.66666666666669</c:v>
                </c:pt>
                <c:pt idx="2">
                  <c:v>87.666666666666686</c:v>
                </c:pt>
                <c:pt idx="3">
                  <c:v>62.666666666666686</c:v>
                </c:pt>
                <c:pt idx="4">
                  <c:v>37.666666666666686</c:v>
                </c:pt>
                <c:pt idx="5">
                  <c:v>12.666666666666686</c:v>
                </c:pt>
                <c:pt idx="6">
                  <c:v>0</c:v>
                </c:pt>
              </c:numCache>
            </c:numRef>
          </c:val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</c:ser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marker val="1"/>
        <c:axId val="114256128"/>
        <c:axId val="114262016"/>
      </c:lineChart>
      <c:catAx>
        <c:axId val="11425612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4262016"/>
        <c:crosses val="autoZero"/>
        <c:auto val="1"/>
        <c:lblAlgn val="ctr"/>
        <c:lblOffset val="200"/>
        <c:tickLblSkip val="1"/>
        <c:tickMarkSkip val="1"/>
      </c:catAx>
      <c:valAx>
        <c:axId val="11426201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42561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sv-SE"/>
              <a:t>Development Velocity</a:t>
            </a:r>
          </a:p>
        </c:rich>
      </c:tx>
      <c:layout>
        <c:manualLayout>
          <c:xMode val="edge"/>
          <c:yMode val="edge"/>
          <c:x val="0.28131445043238501"/>
          <c:y val="3.438400226092723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[0]!PlannedSpeed</c:f>
              <c:numCache>
                <c:formatCode>General</c:formatCode>
                <c:ptCount val="5"/>
                <c:pt idx="0">
                  <c:v>23</c:v>
                </c:pt>
                <c:pt idx="1">
                  <c:v>29</c:v>
                </c:pt>
                <c:pt idx="2">
                  <c:v>31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[0]!RealizedSpeed</c:f>
              <c:numCache>
                <c:formatCode>General</c:formatCode>
                <c:ptCount val="5"/>
                <c:pt idx="0">
                  <c:v>23</c:v>
                </c:pt>
                <c:pt idx="1">
                  <c:v>27</c:v>
                </c:pt>
              </c:numCache>
            </c:numRef>
          </c:val>
        </c:ser>
        <c:gapWidth val="50"/>
        <c:axId val="115739648"/>
        <c:axId val="115761920"/>
      </c:barChart>
      <c:lineChart>
        <c:grouping val="standard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</c:ser>
        <c:marker val="1"/>
        <c:axId val="115739648"/>
        <c:axId val="115761920"/>
      </c:lineChart>
      <c:catAx>
        <c:axId val="1157396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5761920"/>
        <c:crosses val="autoZero"/>
        <c:auto val="1"/>
        <c:lblAlgn val="ctr"/>
        <c:lblOffset val="100"/>
        <c:tickLblSkip val="1"/>
        <c:tickMarkSkip val="1"/>
      </c:catAx>
      <c:valAx>
        <c:axId val="11576192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57396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435518235365E-2"/>
          <c:y val="0.87392672413190053"/>
          <c:w val="0.852156911893721"/>
          <c:h val="0.1060173403045256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'Sp1'!$F$10:$AD$10</c:f>
              <c:numCache>
                <c:formatCode>General</c:formatCode>
                <c:ptCount val="25"/>
                <c:pt idx="0">
                  <c:v>10</c:v>
                </c:pt>
                <c:pt idx="1">
                  <c:v>8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15788800"/>
        <c:axId val="11579468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10.166666666666666</c:v>
                </c:pt>
                <c:pt idx="1">
                  <c:v>7.666666666666667</c:v>
                </c:pt>
                <c:pt idx="2">
                  <c:v>5.1666666666666679</c:v>
                </c:pt>
                <c:pt idx="3">
                  <c:v>2.6666666666666679</c:v>
                </c:pt>
                <c:pt idx="4">
                  <c:v>0.16666666666666785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15788800"/>
        <c:axId val="115794688"/>
      </c:lineChart>
      <c:catAx>
        <c:axId val="115788800"/>
        <c:scaling>
          <c:orientation val="minMax"/>
        </c:scaling>
        <c:delete val="1"/>
        <c:axPos val="b"/>
        <c:tickLblPos val="none"/>
        <c:crossAx val="115794688"/>
        <c:crosses val="autoZero"/>
        <c:auto val="1"/>
        <c:lblAlgn val="ctr"/>
        <c:lblOffset val="100"/>
      </c:catAx>
      <c:valAx>
        <c:axId val="11579468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5788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v-SE"/>
  <c:chart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'Sprint Sheet Template'!$F$10:$AD$10</c:f>
              <c:numCache>
                <c:formatCode>General</c:formatCode>
                <c:ptCount val="25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17611136"/>
        <c:axId val="117621120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4</c:v>
                </c:pt>
                <c:pt idx="1">
                  <c:v>3.2</c:v>
                </c:pt>
                <c:pt idx="2">
                  <c:v>2.4</c:v>
                </c:pt>
                <c:pt idx="3">
                  <c:v>1.5999999999999996</c:v>
                </c:pt>
                <c:pt idx="4">
                  <c:v>0.79999999999999982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17611136"/>
        <c:axId val="117621120"/>
      </c:lineChart>
      <c:catAx>
        <c:axId val="117611136"/>
        <c:scaling>
          <c:orientation val="minMax"/>
        </c:scaling>
        <c:delete val="1"/>
        <c:axPos val="b"/>
        <c:tickLblPos val="none"/>
        <c:crossAx val="117621120"/>
        <c:crosses val="autoZero"/>
        <c:auto val="1"/>
        <c:lblAlgn val="ctr"/>
        <c:lblOffset val="100"/>
      </c:catAx>
      <c:valAx>
        <c:axId val="11762112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7611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47625</xdr:rowOff>
    </xdr:from>
    <xdr:to>
      <xdr:col>24</xdr:col>
      <xdr:colOff>542925</xdr:colOff>
      <xdr:row>19</xdr:row>
      <xdr:rowOff>142875</xdr:rowOff>
    </xdr:to>
    <xdr:graphicFrame macro="">
      <xdr:nvGraphicFramePr>
        <xdr:cNvPr id="184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18449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74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33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1"/>
  <sheetViews>
    <sheetView workbookViewId="0">
      <selection activeCell="B18" sqref="B18:B20"/>
    </sheetView>
  </sheetViews>
  <sheetFormatPr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>
      <c r="A1" s="15" t="s">
        <v>15</v>
      </c>
    </row>
    <row r="3" spans="1:10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>
      <c r="A4" s="12">
        <v>1</v>
      </c>
      <c r="B4" s="44">
        <f>IF(OR(B16="",A4=""),"",B16)</f>
        <v>38881</v>
      </c>
      <c r="C4" s="25">
        <f t="shared" ref="C4:C10" si="0">IF(A4="","",SUMIF(I$16:I$30,A4,C$16:C$30))</f>
        <v>42</v>
      </c>
      <c r="D4" s="44">
        <f>IF(OR(B4="",C4=""),"",B4+C4-1)</f>
        <v>38922</v>
      </c>
      <c r="E4" s="22">
        <f>IF(A4="","",SUMIF(I$16:I$30,'Release Plan'!A4,E$16:E$30))</f>
        <v>58</v>
      </c>
      <c r="F4" s="4"/>
      <c r="G4" s="49"/>
      <c r="H4" s="6"/>
    </row>
    <row r="5" spans="1:10">
      <c r="A5" s="13">
        <v>2</v>
      </c>
      <c r="B5" s="41">
        <f>IF(A5="","",B4+C4)</f>
        <v>38923</v>
      </c>
      <c r="C5" s="22">
        <f t="shared" si="0"/>
        <v>42</v>
      </c>
      <c r="D5" s="41">
        <f t="shared" ref="D5:D10" si="1">IF(OR(B5="",C5=""),"",B5+C5-1)</f>
        <v>38964</v>
      </c>
      <c r="E5" s="22">
        <f>IF(A5="","",SUMIF(I$16:I$30,'Release Plan'!A5,E$16:E$30))</f>
        <v>40</v>
      </c>
      <c r="F5" s="4"/>
      <c r="G5" s="50"/>
      <c r="H5" s="7"/>
    </row>
    <row r="6" spans="1:10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>
      <c r="A11" s="38" t="s">
        <v>31</v>
      </c>
    </row>
    <row r="13" spans="1:10" ht="18">
      <c r="A13" s="15" t="s">
        <v>14</v>
      </c>
    </row>
    <row r="15" spans="1:10">
      <c r="A15" s="9" t="s">
        <v>13</v>
      </c>
      <c r="B15" s="47" t="s">
        <v>1</v>
      </c>
      <c r="C15" s="47" t="s">
        <v>30</v>
      </c>
      <c r="D15" s="47" t="s">
        <v>2</v>
      </c>
      <c r="E15" s="47" t="s">
        <v>18</v>
      </c>
      <c r="F15" s="10" t="s">
        <v>3</v>
      </c>
      <c r="G15" s="47" t="s">
        <v>4</v>
      </c>
      <c r="H15" s="75" t="s">
        <v>0</v>
      </c>
      <c r="I15" s="53" t="s">
        <v>32</v>
      </c>
      <c r="J15" s="1"/>
    </row>
    <row r="16" spans="1:10">
      <c r="A16" s="22">
        <v>1</v>
      </c>
      <c r="B16" s="7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10</v>
      </c>
      <c r="F16" s="4" t="s">
        <v>19</v>
      </c>
      <c r="G16" s="27"/>
      <c r="H16" s="28" t="s">
        <v>77</v>
      </c>
      <c r="I16" s="74">
        <v>1</v>
      </c>
    </row>
    <row r="17" spans="1:9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40</v>
      </c>
      <c r="F17" s="4" t="s">
        <v>19</v>
      </c>
      <c r="G17" s="27"/>
      <c r="H17" s="29" t="s">
        <v>73</v>
      </c>
      <c r="I17" s="39">
        <v>1</v>
      </c>
    </row>
    <row r="18" spans="1:9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8</v>
      </c>
      <c r="F18" s="4" t="str">
        <f>IF(AND(OR(F17="Planned",F17="Ongoing"),C18&lt;&gt;""),"Planned","Unplanned")</f>
        <v>Planned</v>
      </c>
      <c r="G18" s="27"/>
      <c r="H18" s="29" t="s">
        <v>73</v>
      </c>
      <c r="I18" s="39">
        <v>1</v>
      </c>
    </row>
    <row r="19" spans="1:9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20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2</v>
      </c>
    </row>
    <row r="20" spans="1:9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20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C7" sqref="C7"/>
    </sheetView>
  </sheetViews>
  <sheetFormatPr defaultRowHeight="12.75"/>
  <cols>
    <col min="1" max="1" width="9.140625" style="34"/>
    <col min="2" max="2" width="39.28515625" style="32" customWidth="1"/>
    <col min="3" max="3" width="10.85546875" style="34" customWidth="1"/>
    <col min="4" max="6" width="9.140625" style="34"/>
    <col min="7" max="7" width="39.5703125" style="32" customWidth="1"/>
    <col min="8" max="16384" width="9.140625" style="35"/>
  </cols>
  <sheetData>
    <row r="1" spans="1:7" ht="18">
      <c r="A1" s="54" t="s">
        <v>5</v>
      </c>
      <c r="C1" s="33" t="s">
        <v>78</v>
      </c>
    </row>
    <row r="2" spans="1:7">
      <c r="D2" s="78"/>
    </row>
    <row r="4" spans="1:7" ht="13.5" thickBot="1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ht="25.5">
      <c r="A5" s="34">
        <v>1</v>
      </c>
      <c r="B5" s="32" t="s">
        <v>102</v>
      </c>
      <c r="C5" s="34" t="s">
        <v>79</v>
      </c>
      <c r="D5" s="34">
        <v>10</v>
      </c>
      <c r="E5" s="34">
        <v>1</v>
      </c>
      <c r="F5" s="34">
        <v>5</v>
      </c>
      <c r="G5" s="32" t="s">
        <v>103</v>
      </c>
    </row>
    <row r="6" spans="1:7" ht="38.25">
      <c r="A6" s="34">
        <v>2</v>
      </c>
      <c r="B6" s="32" t="s">
        <v>104</v>
      </c>
      <c r="C6" s="34" t="s">
        <v>82</v>
      </c>
      <c r="D6" s="34">
        <v>20</v>
      </c>
      <c r="E6" s="34">
        <v>2</v>
      </c>
      <c r="F6" s="34">
        <v>4</v>
      </c>
      <c r="G6" s="32" t="s">
        <v>105</v>
      </c>
    </row>
    <row r="7" spans="1:7" ht="25.5">
      <c r="A7" s="34">
        <v>3</v>
      </c>
      <c r="B7" s="32" t="s">
        <v>106</v>
      </c>
      <c r="C7" s="34" t="s">
        <v>82</v>
      </c>
      <c r="D7" s="34">
        <v>20</v>
      </c>
      <c r="E7" s="34">
        <v>2</v>
      </c>
      <c r="F7" s="34">
        <v>4</v>
      </c>
      <c r="G7" s="32" t="s">
        <v>107</v>
      </c>
    </row>
    <row r="8" spans="1:7" ht="38.25">
      <c r="A8" s="34">
        <v>4</v>
      </c>
      <c r="B8" s="32" t="s">
        <v>108</v>
      </c>
      <c r="C8" s="34" t="s">
        <v>19</v>
      </c>
      <c r="D8" s="34">
        <v>8</v>
      </c>
      <c r="E8" s="34">
        <v>3</v>
      </c>
      <c r="F8" s="34">
        <v>2</v>
      </c>
      <c r="G8" s="32" t="s">
        <v>109</v>
      </c>
    </row>
    <row r="9" spans="1:7" ht="25.5">
      <c r="A9" s="34">
        <v>5</v>
      </c>
      <c r="B9" s="32" t="s">
        <v>110</v>
      </c>
      <c r="C9" s="34" t="s">
        <v>19</v>
      </c>
      <c r="D9" s="34">
        <v>20</v>
      </c>
      <c r="E9" s="34">
        <v>4</v>
      </c>
      <c r="F9" s="34">
        <v>3</v>
      </c>
      <c r="G9" s="32" t="s">
        <v>112</v>
      </c>
    </row>
    <row r="10" spans="1:7" ht="26.25" customHeight="1">
      <c r="A10" s="34">
        <v>6</v>
      </c>
      <c r="B10" s="32" t="s">
        <v>111</v>
      </c>
      <c r="C10" s="34" t="s">
        <v>19</v>
      </c>
      <c r="D10" s="34">
        <v>20</v>
      </c>
      <c r="E10" s="34">
        <v>5</v>
      </c>
      <c r="F10" s="34">
        <v>3</v>
      </c>
      <c r="G10" s="32" t="s">
        <v>113</v>
      </c>
    </row>
    <row r="11" spans="1:7" ht="26.25" customHeight="1"/>
    <row r="29" spans="2:2">
      <c r="B29" s="35"/>
    </row>
    <row r="37" spans="7:10">
      <c r="J37" s="76"/>
    </row>
    <row r="42" spans="7:10">
      <c r="G42" s="77"/>
    </row>
    <row r="53" spans="1:6">
      <c r="A53" s="35"/>
      <c r="B53" s="35"/>
      <c r="C53" s="35"/>
      <c r="D53" s="35"/>
      <c r="E53" s="35"/>
      <c r="F53" s="35"/>
    </row>
  </sheetData>
  <phoneticPr fontId="2" type="noConversion"/>
  <conditionalFormatting sqref="G44:G52 C45:C46 A11:A52 G23:G41 B11:F44 A54:G163 B47:F52 G11:G21 A4:G10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3">
    <cfRule type="expression" dxfId="17" priority="4" stopIfTrue="1">
      <formula>$C43="Done"</formula>
    </cfRule>
    <cfRule type="expression" dxfId="16" priority="5" stopIfTrue="1">
      <formula>$C43="Ongoing"</formula>
    </cfRule>
    <cfRule type="expression" dxfId="15" priority="6" stopIfTrue="1">
      <formula>$C43="Removed"</formula>
    </cfRule>
  </conditionalFormatting>
  <conditionalFormatting sqref="G42:G43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22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howInputMessage="1" sqref="C54:C163 C4 C6:C52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51"/>
  <sheetViews>
    <sheetView workbookViewId="0">
      <selection activeCell="D5" sqref="D5"/>
    </sheetView>
  </sheetViews>
  <sheetFormatPr defaultRowHeight="12.75"/>
  <cols>
    <col min="1" max="1" width="11.8554687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>
      <c r="A1" s="54" t="s">
        <v>33</v>
      </c>
    </row>
    <row r="3" spans="1:26">
      <c r="A3" t="s">
        <v>37</v>
      </c>
      <c r="D3">
        <v>137</v>
      </c>
      <c r="F3" t="s">
        <v>39</v>
      </c>
      <c r="G3" s="55">
        <f>IF(COUNT(B28:B39)=0,1,COUNT(B28:B39))</f>
        <v>5</v>
      </c>
    </row>
    <row r="4" spans="1:26">
      <c r="A4" t="s">
        <v>40</v>
      </c>
      <c r="D4">
        <v>3</v>
      </c>
      <c r="E4" t="s">
        <v>41</v>
      </c>
      <c r="F4" t="s">
        <v>58</v>
      </c>
      <c r="G4" s="55">
        <f>IF(COUNT(D28:D51)=0,1,COUNT(D28:D51)+1)</f>
        <v>3</v>
      </c>
    </row>
    <row r="5" spans="1:26">
      <c r="F5" t="s">
        <v>42</v>
      </c>
      <c r="G5" s="55">
        <f>IF(G4&gt;D4,G4-D4,0)</f>
        <v>0</v>
      </c>
      <c r="Z5" s="38" t="s">
        <v>87</v>
      </c>
    </row>
    <row r="6" spans="1:26">
      <c r="A6" s="1" t="s">
        <v>72</v>
      </c>
      <c r="F6" t="s">
        <v>43</v>
      </c>
      <c r="G6" s="55">
        <f>TrendSprintCount-TrendOffset</f>
        <v>3</v>
      </c>
      <c r="Z6" s="38" t="s">
        <v>88</v>
      </c>
    </row>
    <row r="7" spans="1:26">
      <c r="A7" t="s">
        <v>46</v>
      </c>
      <c r="D7">
        <v>30</v>
      </c>
      <c r="Z7" s="38" t="s">
        <v>91</v>
      </c>
    </row>
    <row r="8" spans="1:26">
      <c r="A8" s="102">
        <f>D$4</f>
        <v>3</v>
      </c>
      <c r="B8" s="102"/>
      <c r="D8" s="58">
        <f ca="1">IF(D28="","",AVERAGE(OFFSET(D27,TrendOffset,0,SprintsInTrend,1)))</f>
        <v>25</v>
      </c>
      <c r="Z8" s="38" t="s">
        <v>92</v>
      </c>
    </row>
    <row r="9" spans="1:26">
      <c r="A9" t="s">
        <v>59</v>
      </c>
      <c r="D9" s="58">
        <f ca="1">IF(D28="","",AVERAGE(OFFSET(D27,1,0,SprintCount,1)))</f>
        <v>25</v>
      </c>
      <c r="F9" t="s">
        <v>51</v>
      </c>
      <c r="G9" s="55">
        <f ca="1">IF(M28="",1,COUNT(M28:M110))</f>
        <v>7</v>
      </c>
      <c r="Z9" s="38" t="s">
        <v>93</v>
      </c>
    </row>
    <row r="10" spans="1:26">
      <c r="A10" t="s">
        <v>48</v>
      </c>
      <c r="D10" s="58">
        <f ca="1">IF(D28="","",AVERAGE(LastEight))</f>
        <v>25</v>
      </c>
      <c r="Z10" s="38" t="s">
        <v>89</v>
      </c>
    </row>
    <row r="11" spans="1:26">
      <c r="A11" t="s">
        <v>49</v>
      </c>
      <c r="D11" s="58">
        <f ca="1">IF(D28="","",IF(TrendSprintCount&lt;4,D10,AVERAGE(SMALL(LastEight,1),SMALL(LastEight,2),SMALL(LastEight,3))))</f>
        <v>25</v>
      </c>
      <c r="Z11" s="38" t="s">
        <v>90</v>
      </c>
    </row>
    <row r="12" spans="1:26">
      <c r="A12" t="s">
        <v>24</v>
      </c>
      <c r="D12" s="58">
        <f ca="1">IF(M29="","",M28-M29)</f>
        <v>25</v>
      </c>
      <c r="Z12" s="38" t="s">
        <v>94</v>
      </c>
    </row>
    <row r="13" spans="1:26">
      <c r="F13" s="56" t="s">
        <v>52</v>
      </c>
      <c r="Z13" s="38" t="s">
        <v>95</v>
      </c>
    </row>
    <row r="14" spans="1:26">
      <c r="A14" s="1" t="s">
        <v>53</v>
      </c>
    </row>
    <row r="15" spans="1:26">
      <c r="A15" t="s">
        <v>54</v>
      </c>
      <c r="D15" s="59">
        <f>IF(D7="",0,ROUNDUP(D3/D7*0.6,0))</f>
        <v>3</v>
      </c>
    </row>
    <row r="16" spans="1:26">
      <c r="A16" t="s">
        <v>56</v>
      </c>
      <c r="D16" s="59">
        <f>IF(D7="",0,ROUNDUP(D3/D7,0))</f>
        <v>5</v>
      </c>
    </row>
    <row r="17" spans="1:17">
      <c r="A17" t="s">
        <v>55</v>
      </c>
      <c r="D17" s="59">
        <f>IF(D7="",0,ROUNDUP(D3/D7*1.6,0))</f>
        <v>8</v>
      </c>
      <c r="F17" t="s">
        <v>60</v>
      </c>
      <c r="G17">
        <f>IF(OR(D28="",D29=""),1,STDEV(D28:D51))</f>
        <v>2.8284271247461903</v>
      </c>
    </row>
    <row r="18" spans="1:17">
      <c r="A18" s="102">
        <f>D$4</f>
        <v>3</v>
      </c>
      <c r="B18" s="102"/>
      <c r="D18" s="59">
        <f ca="1">IF(D8="","",IF(LastRealized="",ROUNDUP(LastPlanned/D8,0)+SprintCount-1,ROUNDUP((LastPlanned-LastRealized)/D8+SprintCount,0)))</f>
        <v>6</v>
      </c>
    </row>
    <row r="19" spans="1:17">
      <c r="A19" t="s">
        <v>47</v>
      </c>
      <c r="D19" s="59">
        <f ca="1">IF(D9="","",IF(LastRealized="",ROUNDUP(LastPlanned/D9+SprintCount-1,0),ROUNDUP((LastPlanned-LastRealized)/D9,0)+SprintCount))</f>
        <v>6</v>
      </c>
      <c r="F19" t="s">
        <v>63</v>
      </c>
      <c r="G19">
        <f ca="1">LastPlanned</f>
        <v>28</v>
      </c>
    </row>
    <row r="20" spans="1:17">
      <c r="A20" t="s">
        <v>48</v>
      </c>
      <c r="D20" s="59">
        <f ca="1">IF(D10="","",IF(LastRealized="",ROUNDUP(LastPlanned/D10+SprintCount-1,0),ROUNDUP((LastPlanned-LastRealized)/D10,0)+SprintCount))</f>
        <v>6</v>
      </c>
      <c r="F20" t="s">
        <v>64</v>
      </c>
      <c r="G20">
        <f ca="1">LastRealized</f>
        <v>0</v>
      </c>
    </row>
    <row r="21" spans="1:17">
      <c r="A21" t="s">
        <v>49</v>
      </c>
      <c r="D21" s="59">
        <f ca="1">IF(D11="","",IF(LastRealized="",ROUNDUP(LastPlanned/D11+SprintCount-1,0),ROUNDUP((LastPlanned-LastRealized)/D11,0)+SprintCount))</f>
        <v>6</v>
      </c>
    </row>
    <row r="22" spans="1:17">
      <c r="A22" t="s">
        <v>24</v>
      </c>
      <c r="D22" s="59">
        <f ca="1">IF(COUNT(M28:M51)-1&gt;0,COUNT(M28:M51)-1,"")</f>
        <v>6</v>
      </c>
    </row>
    <row r="23" spans="1:17">
      <c r="A23" t="s">
        <v>61</v>
      </c>
      <c r="D23" s="59">
        <f ca="1">IF(D9="","",IF(LastRealized="",ROUNDUP(LastPlanned/(D9+G17)+SprintCount-1,0),ROUNDUP((LastPlanned-LastRealized)/(D9+G17)+SprintCount,0)))</f>
        <v>6</v>
      </c>
    </row>
    <row r="24" spans="1:17">
      <c r="A24" t="s">
        <v>62</v>
      </c>
      <c r="D24" s="59">
        <f ca="1">IF(D9="","",IF(LastRealized="",ROUNDUP(LastPlanned/(D9-G17)+SprintCount-1,0),ROUNDUP((LastPlanned-LastRealized)/(D9-G17)+SprintCount,0)))</f>
        <v>6</v>
      </c>
    </row>
    <row r="26" spans="1:17" ht="12.75" customHeight="1">
      <c r="F26" s="104" t="s">
        <v>24</v>
      </c>
      <c r="G26" s="104"/>
      <c r="H26" s="104"/>
      <c r="I26" s="104"/>
      <c r="J26" s="104"/>
      <c r="K26" s="104"/>
      <c r="L26" s="104"/>
      <c r="M26" s="104"/>
      <c r="N26" s="104"/>
      <c r="O26" s="104" t="s">
        <v>69</v>
      </c>
      <c r="P26" s="104"/>
      <c r="Q26" s="104"/>
    </row>
    <row r="27" spans="1:17" s="3" customFormat="1" ht="26.25" thickBot="1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3" t="s">
        <v>38</v>
      </c>
      <c r="H27" s="103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>
      <c r="A28" s="57">
        <v>1</v>
      </c>
      <c r="B28" s="2">
        <f>D3</f>
        <v>137</v>
      </c>
      <c r="C28" s="2">
        <v>23</v>
      </c>
      <c r="D28" s="2">
        <v>23</v>
      </c>
      <c r="E28" s="57">
        <f>B28</f>
        <v>137</v>
      </c>
      <c r="F28" s="55">
        <f>B28</f>
        <v>137</v>
      </c>
      <c r="G28" s="55">
        <f t="shared" ref="G28:G51" si="0">F28</f>
        <v>137</v>
      </c>
      <c r="H28" s="55">
        <f t="shared" ref="H28:H33" si="1">I28</f>
        <v>0</v>
      </c>
      <c r="I28" s="55">
        <v>0</v>
      </c>
      <c r="K28">
        <f t="shared" ref="K28:K33" si="2">IF(F28&lt;I28,I28,F28)</f>
        <v>137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55">
        <f ca="1">L28</f>
        <v>137.66666666666669</v>
      </c>
      <c r="N28" s="55">
        <f t="shared" ref="N28:N51" ca="1" si="4">OFFSET($I$27,TrendSprintCount,0,1,1)</f>
        <v>0</v>
      </c>
      <c r="O28" s="66">
        <f t="shared" ref="O28:O51" ca="1" si="5">D$9</f>
        <v>25</v>
      </c>
      <c r="P28" s="66">
        <f t="shared" ref="P28:P51" ca="1" si="6">D$10</f>
        <v>25</v>
      </c>
      <c r="Q28" s="66">
        <f t="shared" ref="Q28:Q51" ca="1" si="7">D$11</f>
        <v>25</v>
      </c>
    </row>
    <row r="29" spans="1:17">
      <c r="A29" s="57">
        <v>2</v>
      </c>
      <c r="B29" s="2">
        <f t="shared" ref="B29:B51" si="8">IF(OR(B28="",C28=""),"",IF(D28="",IF(B28-C28&lt;=0,"",B28-C28),IF(B28-D28&lt;=0,"",B28-D28)))</f>
        <v>114</v>
      </c>
      <c r="C29" s="2">
        <v>29</v>
      </c>
      <c r="D29" s="2">
        <v>27</v>
      </c>
      <c r="E29" s="57">
        <f>IF(B29="","",IF(D28="",E28,B29+SUM(D$28:D28)))</f>
        <v>137</v>
      </c>
      <c r="F29" s="55">
        <f t="shared" ref="F29:F34" si="9">IF(B29="",IF(B28="","",IF(D28="","",I28)),IF(AND(D28="",C28=""),"",IF(AND(D28="",C28&lt;&gt;""),IF(I28&gt;F28,F28,I28),F28-D28)))</f>
        <v>114</v>
      </c>
      <c r="G29" s="55">
        <f t="shared" si="0"/>
        <v>114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55">
        <f t="shared" ca="1" si="3"/>
        <v>112.66666666666669</v>
      </c>
      <c r="M29" s="55">
        <f ca="1">IF(L29=L28,"",L29)</f>
        <v>112.66666666666669</v>
      </c>
      <c r="N29" s="55">
        <f t="shared" ca="1" si="4"/>
        <v>0</v>
      </c>
      <c r="O29" s="66">
        <f t="shared" ca="1" si="5"/>
        <v>25</v>
      </c>
      <c r="P29" s="66">
        <f t="shared" ca="1" si="6"/>
        <v>25</v>
      </c>
      <c r="Q29" s="66">
        <f t="shared" ca="1" si="7"/>
        <v>25</v>
      </c>
    </row>
    <row r="30" spans="1:17">
      <c r="A30" s="57">
        <v>3</v>
      </c>
      <c r="B30" s="2">
        <f t="shared" si="8"/>
        <v>87</v>
      </c>
      <c r="C30" s="2">
        <v>31</v>
      </c>
      <c r="D30" s="2"/>
      <c r="E30" s="57">
        <f>IF(B30="","",IF(D29="",E29,B30+SUM(D$28:D29)))</f>
        <v>137</v>
      </c>
      <c r="F30" s="55">
        <f t="shared" si="9"/>
        <v>87</v>
      </c>
      <c r="G30" s="55">
        <f t="shared" si="0"/>
        <v>87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87</v>
      </c>
      <c r="L30" s="55">
        <f t="shared" ca="1" si="3"/>
        <v>87.666666666666686</v>
      </c>
      <c r="M30" s="55">
        <f t="shared" ref="M30:M51" ca="1" si="10">IF(L30=L29,"",L30)</f>
        <v>87.666666666666686</v>
      </c>
      <c r="N30" s="55">
        <f t="shared" ca="1" si="4"/>
        <v>0</v>
      </c>
      <c r="O30" s="66">
        <f t="shared" ca="1" si="5"/>
        <v>25</v>
      </c>
      <c r="P30" s="66">
        <f t="shared" ca="1" si="6"/>
        <v>25</v>
      </c>
      <c r="Q30" s="66">
        <f t="shared" ca="1" si="7"/>
        <v>25</v>
      </c>
    </row>
    <row r="31" spans="1:17">
      <c r="A31" s="57">
        <v>4</v>
      </c>
      <c r="B31" s="2">
        <f t="shared" si="8"/>
        <v>56</v>
      </c>
      <c r="C31" s="2">
        <v>28</v>
      </c>
      <c r="D31" s="2"/>
      <c r="E31" s="57">
        <f>IF(B31="","",IF(D30="",E30,B31+SUM(D$28:D30)))</f>
        <v>137</v>
      </c>
      <c r="F31" s="55">
        <f t="shared" si="9"/>
        <v>0</v>
      </c>
      <c r="G31" s="55">
        <f t="shared" si="0"/>
        <v>0</v>
      </c>
      <c r="H31" s="55">
        <f t="shared" si="1"/>
        <v>56</v>
      </c>
      <c r="I31" s="55">
        <f>IF(B31="",IF(B30="","",IF(D30="","",F30-D30)),IF(AND(C30="",D30=""),"",IF(AND(D30="",C30&lt;&gt;""),IF(I30&gt;F30,I30-C30,F30-C30),B$28-B31-SUM(D$28:D30))))</f>
        <v>56</v>
      </c>
      <c r="K31">
        <f t="shared" si="2"/>
        <v>56</v>
      </c>
      <c r="L31" s="55">
        <f t="shared" ca="1" si="3"/>
        <v>62.666666666666686</v>
      </c>
      <c r="M31" s="55">
        <f t="shared" ca="1" si="10"/>
        <v>62.666666666666686</v>
      </c>
      <c r="N31" s="55">
        <f t="shared" ca="1" si="4"/>
        <v>0</v>
      </c>
      <c r="O31" s="66">
        <f t="shared" ca="1" si="5"/>
        <v>25</v>
      </c>
      <c r="P31" s="66">
        <f t="shared" ca="1" si="6"/>
        <v>25</v>
      </c>
      <c r="Q31" s="66">
        <f t="shared" ca="1" si="7"/>
        <v>25</v>
      </c>
    </row>
    <row r="32" spans="1:17">
      <c r="A32" s="57">
        <v>5</v>
      </c>
      <c r="B32" s="2">
        <f>IF(OR(B31="",C31=""),"",IF(D31="",IF(B31-C31&lt;=0,"",B31-C31),IF(B31-D31&lt;=0,"",B31-D31)))</f>
        <v>28</v>
      </c>
      <c r="C32" s="2">
        <v>28</v>
      </c>
      <c r="D32" s="2"/>
      <c r="E32" s="57">
        <f>IF(B32="","",IF(D31="",E31,B32+SUM(D$28:D31)))</f>
        <v>137</v>
      </c>
      <c r="F32" s="55">
        <f t="shared" si="9"/>
        <v>0</v>
      </c>
      <c r="G32" s="55">
        <f t="shared" si="0"/>
        <v>0</v>
      </c>
      <c r="H32" s="55">
        <f t="shared" si="1"/>
        <v>28</v>
      </c>
      <c r="I32" s="55">
        <f>IF(B32="",IF(B31="","",IF(D31="","",F31-D31)),IF(AND(C31="",D31=""),"",IF(AND(D31="",C31&lt;&gt;""),IF(I31&gt;F31,I31-C31,F31-C31),B$28-B32-SUM(D$28:D31))))</f>
        <v>28</v>
      </c>
      <c r="K32">
        <f t="shared" si="2"/>
        <v>28</v>
      </c>
      <c r="L32" s="55">
        <f t="shared" ca="1" si="3"/>
        <v>37.666666666666686</v>
      </c>
      <c r="M32" s="55">
        <f t="shared" ca="1" si="10"/>
        <v>37.666666666666686</v>
      </c>
      <c r="N32" s="55">
        <f t="shared" ca="1" si="4"/>
        <v>0</v>
      </c>
      <c r="O32" s="66">
        <f t="shared" ca="1" si="5"/>
        <v>25</v>
      </c>
      <c r="P32" s="66">
        <f t="shared" ca="1" si="6"/>
        <v>25</v>
      </c>
      <c r="Q32" s="66">
        <f t="shared" ca="1" si="7"/>
        <v>25</v>
      </c>
    </row>
    <row r="33" spans="1:17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12.666666666666686</v>
      </c>
      <c r="M33" s="55">
        <f t="shared" ca="1" si="10"/>
        <v>12.666666666666686</v>
      </c>
      <c r="N33" s="55">
        <f t="shared" ca="1" si="4"/>
        <v>0</v>
      </c>
      <c r="O33" s="66">
        <f t="shared" ca="1" si="5"/>
        <v>25</v>
      </c>
      <c r="P33" s="66">
        <f t="shared" ca="1" si="6"/>
        <v>25</v>
      </c>
      <c r="Q33" s="66">
        <f t="shared" ca="1" si="7"/>
        <v>25</v>
      </c>
    </row>
    <row r="34" spans="1:17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0</v>
      </c>
      <c r="M34" s="55">
        <f t="shared" ca="1" si="10"/>
        <v>0</v>
      </c>
      <c r="N34" s="55">
        <f t="shared" ca="1" si="4"/>
        <v>0</v>
      </c>
      <c r="O34" s="66">
        <f t="shared" ca="1" si="5"/>
        <v>25</v>
      </c>
      <c r="P34" s="66">
        <f t="shared" ca="1" si="6"/>
        <v>25</v>
      </c>
      <c r="Q34" s="66">
        <f t="shared" ca="1" si="7"/>
        <v>25</v>
      </c>
    </row>
    <row r="35" spans="1:17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0</v>
      </c>
      <c r="M35" s="55" t="str">
        <f t="shared" ca="1" si="10"/>
        <v/>
      </c>
      <c r="N35" s="55">
        <f t="shared" ca="1" si="4"/>
        <v>0</v>
      </c>
      <c r="O35" s="66">
        <f t="shared" ca="1" si="5"/>
        <v>25</v>
      </c>
      <c r="P35" s="66">
        <f t="shared" ca="1" si="6"/>
        <v>25</v>
      </c>
      <c r="Q35" s="66">
        <f t="shared" ca="1" si="7"/>
        <v>25</v>
      </c>
    </row>
    <row r="36" spans="1:17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0</v>
      </c>
      <c r="M36" s="55" t="str">
        <f t="shared" ca="1" si="10"/>
        <v/>
      </c>
      <c r="N36" s="55">
        <f t="shared" ca="1" si="4"/>
        <v>0</v>
      </c>
      <c r="O36" s="66">
        <f t="shared" ca="1" si="5"/>
        <v>25</v>
      </c>
      <c r="P36" s="66">
        <f t="shared" ca="1" si="6"/>
        <v>25</v>
      </c>
      <c r="Q36" s="66">
        <f t="shared" ca="1" si="7"/>
        <v>25</v>
      </c>
    </row>
    <row r="37" spans="1:17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0</v>
      </c>
      <c r="M37" s="55" t="str">
        <f t="shared" ca="1" si="10"/>
        <v/>
      </c>
      <c r="N37" s="55">
        <f t="shared" ca="1" si="4"/>
        <v>0</v>
      </c>
      <c r="O37" s="66">
        <f t="shared" ca="1" si="5"/>
        <v>25</v>
      </c>
      <c r="P37" s="66">
        <f t="shared" ca="1" si="6"/>
        <v>25</v>
      </c>
      <c r="Q37" s="66">
        <f t="shared" ca="1" si="7"/>
        <v>25</v>
      </c>
    </row>
    <row r="38" spans="1:17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0</v>
      </c>
      <c r="M38" s="55" t="str">
        <f t="shared" ca="1" si="10"/>
        <v/>
      </c>
      <c r="N38" s="55">
        <f t="shared" ca="1" si="4"/>
        <v>0</v>
      </c>
      <c r="O38" s="66">
        <f t="shared" ca="1" si="5"/>
        <v>25</v>
      </c>
      <c r="P38" s="66">
        <f t="shared" ca="1" si="6"/>
        <v>25</v>
      </c>
      <c r="Q38" s="66">
        <f t="shared" ca="1" si="7"/>
        <v>25</v>
      </c>
    </row>
    <row r="39" spans="1:17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0</v>
      </c>
      <c r="M39" s="55" t="str">
        <f t="shared" ca="1" si="10"/>
        <v/>
      </c>
      <c r="N39" s="55">
        <f t="shared" ca="1" si="4"/>
        <v>0</v>
      </c>
      <c r="O39" s="66">
        <f t="shared" ca="1" si="5"/>
        <v>25</v>
      </c>
      <c r="P39" s="66">
        <f t="shared" ca="1" si="6"/>
        <v>25</v>
      </c>
      <c r="Q39" s="66">
        <f t="shared" ca="1" si="7"/>
        <v>25</v>
      </c>
    </row>
    <row r="40" spans="1:17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0</v>
      </c>
      <c r="M40" s="55" t="str">
        <f t="shared" ca="1" si="10"/>
        <v/>
      </c>
      <c r="N40" s="55">
        <f t="shared" ca="1" si="4"/>
        <v>0</v>
      </c>
      <c r="O40" s="66">
        <f t="shared" ca="1" si="5"/>
        <v>25</v>
      </c>
      <c r="P40" s="66">
        <f t="shared" ca="1" si="6"/>
        <v>25</v>
      </c>
      <c r="Q40" s="66">
        <f t="shared" ca="1" si="7"/>
        <v>25</v>
      </c>
    </row>
    <row r="41" spans="1:17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0</v>
      </c>
      <c r="M41" s="55" t="str">
        <f t="shared" ca="1" si="10"/>
        <v/>
      </c>
      <c r="N41" s="55">
        <f t="shared" ca="1" si="4"/>
        <v>0</v>
      </c>
      <c r="O41" s="66">
        <f t="shared" ca="1" si="5"/>
        <v>25</v>
      </c>
      <c r="P41" s="66">
        <f t="shared" ca="1" si="6"/>
        <v>25</v>
      </c>
      <c r="Q41" s="66">
        <f t="shared" ca="1" si="7"/>
        <v>25</v>
      </c>
    </row>
    <row r="42" spans="1:17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0</v>
      </c>
      <c r="M42" s="55" t="str">
        <f t="shared" ca="1" si="10"/>
        <v/>
      </c>
      <c r="N42" s="55">
        <f t="shared" ca="1" si="4"/>
        <v>0</v>
      </c>
      <c r="O42" s="66">
        <f t="shared" ca="1" si="5"/>
        <v>25</v>
      </c>
      <c r="P42" s="66">
        <f t="shared" ca="1" si="6"/>
        <v>25</v>
      </c>
      <c r="Q42" s="66">
        <f t="shared" ca="1" si="7"/>
        <v>25</v>
      </c>
    </row>
    <row r="43" spans="1:17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0</v>
      </c>
      <c r="M43" s="55" t="str">
        <f t="shared" ca="1" si="10"/>
        <v/>
      </c>
      <c r="N43" s="55">
        <f t="shared" ca="1" si="4"/>
        <v>0</v>
      </c>
      <c r="O43" s="66">
        <f t="shared" ca="1" si="5"/>
        <v>25</v>
      </c>
      <c r="P43" s="66">
        <f t="shared" ca="1" si="6"/>
        <v>25</v>
      </c>
      <c r="Q43" s="66">
        <f t="shared" ca="1" si="7"/>
        <v>25</v>
      </c>
    </row>
    <row r="44" spans="1:17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0</v>
      </c>
      <c r="M44" s="55" t="str">
        <f t="shared" ca="1" si="10"/>
        <v/>
      </c>
      <c r="N44" s="55">
        <f t="shared" ca="1" si="4"/>
        <v>0</v>
      </c>
      <c r="O44" s="66">
        <f t="shared" ca="1" si="5"/>
        <v>25</v>
      </c>
      <c r="P44" s="66">
        <f t="shared" ca="1" si="6"/>
        <v>25</v>
      </c>
      <c r="Q44" s="66">
        <f t="shared" ca="1" si="7"/>
        <v>25</v>
      </c>
    </row>
    <row r="45" spans="1:17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0</v>
      </c>
      <c r="M45" s="55" t="str">
        <f t="shared" ca="1" si="10"/>
        <v/>
      </c>
      <c r="N45" s="55">
        <f t="shared" ca="1" si="4"/>
        <v>0</v>
      </c>
      <c r="O45" s="66">
        <f t="shared" ca="1" si="5"/>
        <v>25</v>
      </c>
      <c r="P45" s="66">
        <f t="shared" ca="1" si="6"/>
        <v>25</v>
      </c>
      <c r="Q45" s="66">
        <f t="shared" ca="1" si="7"/>
        <v>25</v>
      </c>
    </row>
    <row r="46" spans="1:17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0</v>
      </c>
      <c r="M46" s="55" t="str">
        <f t="shared" ca="1" si="10"/>
        <v/>
      </c>
      <c r="N46" s="55">
        <f t="shared" ca="1" si="4"/>
        <v>0</v>
      </c>
      <c r="O46" s="66">
        <f t="shared" ca="1" si="5"/>
        <v>25</v>
      </c>
      <c r="P46" s="66">
        <f t="shared" ca="1" si="6"/>
        <v>25</v>
      </c>
      <c r="Q46" s="66">
        <f t="shared" ca="1" si="7"/>
        <v>25</v>
      </c>
    </row>
    <row r="47" spans="1:17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0</v>
      </c>
      <c r="M47" s="55" t="str">
        <f t="shared" ca="1" si="10"/>
        <v/>
      </c>
      <c r="N47" s="55">
        <f t="shared" ca="1" si="4"/>
        <v>0</v>
      </c>
      <c r="O47" s="66">
        <f t="shared" ca="1" si="5"/>
        <v>25</v>
      </c>
      <c r="P47" s="66">
        <f t="shared" ca="1" si="6"/>
        <v>25</v>
      </c>
      <c r="Q47" s="66">
        <f t="shared" ca="1" si="7"/>
        <v>25</v>
      </c>
    </row>
    <row r="48" spans="1:17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0</v>
      </c>
      <c r="M48" s="55" t="str">
        <f t="shared" ca="1" si="10"/>
        <v/>
      </c>
      <c r="N48" s="55">
        <f t="shared" ca="1" si="4"/>
        <v>0</v>
      </c>
      <c r="O48" s="66">
        <f t="shared" ca="1" si="5"/>
        <v>25</v>
      </c>
      <c r="P48" s="66">
        <f t="shared" ca="1" si="6"/>
        <v>25</v>
      </c>
      <c r="Q48" s="66">
        <f t="shared" ca="1" si="7"/>
        <v>25</v>
      </c>
    </row>
    <row r="49" spans="1:17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0</v>
      </c>
      <c r="M49" s="55" t="str">
        <f t="shared" ca="1" si="10"/>
        <v/>
      </c>
      <c r="N49" s="55">
        <f t="shared" ca="1" si="4"/>
        <v>0</v>
      </c>
      <c r="O49" s="66">
        <f t="shared" ca="1" si="5"/>
        <v>25</v>
      </c>
      <c r="P49" s="66">
        <f t="shared" ca="1" si="6"/>
        <v>25</v>
      </c>
      <c r="Q49" s="66">
        <f t="shared" ca="1" si="7"/>
        <v>25</v>
      </c>
    </row>
    <row r="50" spans="1:17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0</v>
      </c>
      <c r="M50" s="55" t="str">
        <f t="shared" ca="1" si="10"/>
        <v/>
      </c>
      <c r="N50" s="55">
        <f t="shared" ca="1" si="4"/>
        <v>0</v>
      </c>
      <c r="O50" s="66">
        <f t="shared" ca="1" si="5"/>
        <v>25</v>
      </c>
      <c r="P50" s="66">
        <f t="shared" ca="1" si="6"/>
        <v>25</v>
      </c>
      <c r="Q50" s="66">
        <f t="shared" ca="1" si="7"/>
        <v>25</v>
      </c>
    </row>
    <row r="51" spans="1:17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0</v>
      </c>
      <c r="M51" s="55" t="str">
        <f t="shared" ca="1" si="10"/>
        <v/>
      </c>
      <c r="N51" s="55">
        <f t="shared" ca="1" si="4"/>
        <v>0</v>
      </c>
      <c r="O51" s="66">
        <f t="shared" ca="1" si="5"/>
        <v>25</v>
      </c>
      <c r="P51" s="66">
        <f t="shared" ca="1" si="6"/>
        <v>25</v>
      </c>
      <c r="Q51" s="66">
        <f t="shared" ca="1" si="7"/>
        <v>25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D87"/>
  <sheetViews>
    <sheetView tabSelected="1" workbookViewId="0">
      <pane ySplit="14" topLeftCell="A15" activePane="bottomLeft" state="frozen"/>
      <selection pane="bottomLeft" activeCell="H15" sqref="H15"/>
    </sheetView>
  </sheetViews>
  <sheetFormatPr defaultRowHeight="12.75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16384" width="9.140625" style="35"/>
  </cols>
  <sheetData>
    <row r="1" spans="1:30" ht="18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>
      <c r="A9" s="69" t="s">
        <v>12</v>
      </c>
      <c r="B9" s="70">
        <v>5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>
      <c r="A10" s="69" t="s">
        <v>29</v>
      </c>
      <c r="B10" s="70">
        <v>5</v>
      </c>
      <c r="C10" s="69" t="s">
        <v>30</v>
      </c>
      <c r="D10" s="69" t="s">
        <v>17</v>
      </c>
      <c r="E10" s="72">
        <f ca="1">SUM(OFFSET(E14,1,0,TaskRows,1))</f>
        <v>10</v>
      </c>
      <c r="F10" s="72">
        <f ca="1">IF(AND(SUM(OFFSET(F14,1,0,TaskRows,1))=0),0,SUM(OFFSET(F14,1,0,TaskRows,1)))</f>
        <v>10</v>
      </c>
      <c r="G10" s="72">
        <f t="shared" ref="G10:AD10" ca="1" si="0">IF(AND(SUM(OFFSET(G14,1,0,TaskRows,1))=0),"",SUM(OFFSET(G14,1,0,TaskRows,1)))</f>
        <v>8</v>
      </c>
      <c r="H10" s="72">
        <f t="shared" ca="1" si="0"/>
        <v>5</v>
      </c>
      <c r="I10" s="72" t="str">
        <f t="shared" ca="1" si="0"/>
        <v/>
      </c>
      <c r="J10" s="72" t="str">
        <f t="shared" ca="1" si="0"/>
        <v/>
      </c>
      <c r="K10" s="72" t="str">
        <f t="shared" ca="1" si="0"/>
        <v/>
      </c>
      <c r="L10" s="72" t="str">
        <f t="shared" ca="1" si="0"/>
        <v/>
      </c>
      <c r="M10" s="72" t="str">
        <f t="shared" ca="1" si="0"/>
        <v/>
      </c>
      <c r="N10" s="72" t="str">
        <f t="shared" ca="1" si="0"/>
        <v/>
      </c>
      <c r="O10" s="72" t="str">
        <f t="shared" ca="1" si="0"/>
        <v/>
      </c>
      <c r="P10" s="72" t="str">
        <f t="shared" ca="1" si="0"/>
        <v/>
      </c>
      <c r="Q10" s="72" t="str">
        <f t="shared" ca="1" si="0"/>
        <v/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3</v>
      </c>
      <c r="E11" s="2"/>
      <c r="F11" s="2">
        <f ca="1">IF(F14="","",$E10-$E10/($B9-1)*(F14-1))</f>
        <v>10</v>
      </c>
      <c r="G11" s="2">
        <f t="shared" ref="G11:AD11" ca="1" si="1">IF(G14="","",TotalEffort-TotalEffort/(ImplementationDays)*(G14-1))</f>
        <v>8</v>
      </c>
      <c r="H11" s="2">
        <f t="shared" ca="1" si="1"/>
        <v>6</v>
      </c>
      <c r="I11" s="2">
        <f t="shared" ca="1" si="1"/>
        <v>4</v>
      </c>
      <c r="J11" s="2">
        <f t="shared" ca="1" si="1"/>
        <v>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>
      <c r="A12" s="56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10.166666666666666</v>
      </c>
      <c r="G12" s="2">
        <f t="shared" ca="1" si="2"/>
        <v>7.666666666666667</v>
      </c>
      <c r="H12" s="2">
        <f t="shared" ca="1" si="2"/>
        <v>5.1666666666666679</v>
      </c>
      <c r="I12" s="2">
        <f t="shared" ca="1" si="2"/>
        <v>2.6666666666666679</v>
      </c>
      <c r="J12" s="2">
        <f t="shared" ca="1" si="2"/>
        <v>0.16666666666666785</v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>
      <c r="A13" s="56" t="s">
        <v>27</v>
      </c>
      <c r="C13" t="s">
        <v>25</v>
      </c>
      <c r="D13" s="2">
        <f ca="1">IF(DoneDays&gt;B10,B10,DoneDays)</f>
        <v>3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 t="str">
        <f t="shared" si="3"/>
        <v/>
      </c>
      <c r="L14" s="73" t="str">
        <f t="shared" si="3"/>
        <v/>
      </c>
      <c r="M14" s="73" t="str">
        <f t="shared" si="3"/>
        <v/>
      </c>
      <c r="N14" s="73" t="str">
        <f t="shared" si="3"/>
        <v/>
      </c>
      <c r="O14" s="73" t="str">
        <f t="shared" si="3"/>
        <v/>
      </c>
      <c r="P14" s="73" t="str">
        <f t="shared" si="3"/>
        <v/>
      </c>
      <c r="Q14" s="73" t="str">
        <f t="shared" si="3"/>
        <v/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>
      <c r="A15" t="s">
        <v>102</v>
      </c>
      <c r="B15" s="2">
        <v>1</v>
      </c>
      <c r="C15" t="s">
        <v>114</v>
      </c>
      <c r="D15" t="s">
        <v>79</v>
      </c>
      <c r="E15" s="2">
        <v>10</v>
      </c>
      <c r="F15" s="2">
        <f>IF(OR(F$14="",$E15=""),"",E15)</f>
        <v>10</v>
      </c>
      <c r="G15" s="2">
        <v>8</v>
      </c>
      <c r="H15" s="2">
        <v>5</v>
      </c>
      <c r="I15" s="2"/>
    </row>
    <row r="16" spans="1:30">
      <c r="A16"/>
      <c r="B16" s="2"/>
      <c r="C16"/>
      <c r="D16"/>
      <c r="E16" s="2"/>
      <c r="F16" s="2"/>
      <c r="G16" s="2"/>
      <c r="H16" s="2"/>
      <c r="I16" s="2"/>
    </row>
    <row r="17" spans="1:30">
      <c r="A17"/>
      <c r="B17" s="2"/>
      <c r="C17"/>
      <c r="D17"/>
      <c r="E17" s="2"/>
      <c r="F17" s="2"/>
      <c r="G17" s="2"/>
      <c r="H17" s="2"/>
      <c r="I17" s="2"/>
      <c r="AC17" s="34" t="str">
        <f t="shared" ref="AC17:AD34" si="4">IF(OR(AC$14="",$E17=""),"",AB17)</f>
        <v/>
      </c>
      <c r="AD17" s="34" t="str">
        <f t="shared" si="4"/>
        <v/>
      </c>
    </row>
    <row r="18" spans="1:30">
      <c r="A18"/>
      <c r="B18" s="2"/>
      <c r="C18"/>
      <c r="D18"/>
      <c r="E18" s="2"/>
      <c r="F18" s="2"/>
      <c r="G18" s="2"/>
      <c r="H18" s="2"/>
      <c r="I18" s="2"/>
    </row>
    <row r="19" spans="1:30">
      <c r="A19" s="32"/>
      <c r="C19"/>
      <c r="AC19" s="34" t="str">
        <f t="shared" si="4"/>
        <v/>
      </c>
      <c r="AD19" s="34" t="str">
        <f t="shared" si="4"/>
        <v/>
      </c>
    </row>
    <row r="20" spans="1:30">
      <c r="A20" s="32"/>
      <c r="C20"/>
      <c r="AC20" s="34" t="str">
        <f t="shared" si="4"/>
        <v/>
      </c>
      <c r="AD20" s="34" t="str">
        <f t="shared" si="4"/>
        <v/>
      </c>
    </row>
    <row r="21" spans="1:30">
      <c r="A21" s="32"/>
      <c r="C21"/>
      <c r="AC21" s="34" t="str">
        <f t="shared" si="4"/>
        <v/>
      </c>
      <c r="AD21" s="34" t="str">
        <f t="shared" si="4"/>
        <v/>
      </c>
    </row>
    <row r="22" spans="1:30">
      <c r="A22" s="32"/>
      <c r="C22"/>
      <c r="AC22" s="34" t="str">
        <f t="shared" si="4"/>
        <v/>
      </c>
      <c r="AD22" s="34" t="str">
        <f t="shared" si="4"/>
        <v/>
      </c>
    </row>
    <row r="23" spans="1:30" ht="15" customHeight="1">
      <c r="A23" s="32"/>
      <c r="C23"/>
      <c r="AC23" s="34" t="str">
        <f t="shared" si="4"/>
        <v/>
      </c>
      <c r="AD23" s="34" t="str">
        <f t="shared" si="4"/>
        <v/>
      </c>
    </row>
    <row r="24" spans="1:30">
      <c r="A24" s="32"/>
      <c r="C24"/>
      <c r="AC24" s="34" t="str">
        <f t="shared" si="4"/>
        <v/>
      </c>
      <c r="AD24" s="34" t="str">
        <f t="shared" si="4"/>
        <v/>
      </c>
    </row>
    <row r="25" spans="1:30">
      <c r="A25" s="32"/>
      <c r="C25"/>
    </row>
    <row r="26" spans="1:30">
      <c r="A26" s="32"/>
      <c r="C26"/>
      <c r="AC26" s="34" t="str">
        <f t="shared" si="4"/>
        <v/>
      </c>
      <c r="AD26" s="34" t="str">
        <f t="shared" si="4"/>
        <v/>
      </c>
    </row>
    <row r="27" spans="1:30">
      <c r="A27" s="32"/>
      <c r="C27"/>
      <c r="AC27" s="34" t="str">
        <f t="shared" si="4"/>
        <v/>
      </c>
      <c r="AD27" s="34" t="str">
        <f t="shared" si="4"/>
        <v/>
      </c>
    </row>
    <row r="28" spans="1:30">
      <c r="A28" s="32"/>
      <c r="C28"/>
      <c r="AC28" s="34" t="str">
        <f t="shared" si="4"/>
        <v/>
      </c>
      <c r="AD28" s="34" t="str">
        <f t="shared" si="4"/>
        <v/>
      </c>
    </row>
    <row r="29" spans="1:30">
      <c r="A29" s="32"/>
      <c r="C29"/>
      <c r="AC29" s="34" t="str">
        <f t="shared" si="4"/>
        <v/>
      </c>
      <c r="AD29" s="34" t="str">
        <f t="shared" si="4"/>
        <v/>
      </c>
    </row>
    <row r="30" spans="1:30">
      <c r="A30" s="32"/>
      <c r="C30"/>
      <c r="AC30" s="34" t="str">
        <f t="shared" si="4"/>
        <v/>
      </c>
      <c r="AD30" s="34" t="str">
        <f t="shared" si="4"/>
        <v/>
      </c>
    </row>
    <row r="31" spans="1:30">
      <c r="A31" s="32"/>
      <c r="C31"/>
      <c r="AC31" s="34" t="str">
        <f t="shared" si="4"/>
        <v/>
      </c>
      <c r="AD31" s="34" t="str">
        <f t="shared" si="4"/>
        <v/>
      </c>
    </row>
    <row r="32" spans="1:30">
      <c r="A32" s="32"/>
      <c r="C32"/>
      <c r="AC32" s="34" t="str">
        <f t="shared" si="4"/>
        <v/>
      </c>
      <c r="AD32" s="34" t="str">
        <f t="shared" si="4"/>
        <v/>
      </c>
    </row>
    <row r="33" spans="1:30">
      <c r="A33" s="32"/>
      <c r="C33"/>
      <c r="AC33" s="34" t="str">
        <f t="shared" si="4"/>
        <v/>
      </c>
      <c r="AD33" s="34" t="str">
        <f t="shared" si="4"/>
        <v/>
      </c>
    </row>
    <row r="34" spans="1:30">
      <c r="A34" s="32"/>
      <c r="C34"/>
      <c r="AC34" s="34" t="str">
        <f t="shared" si="4"/>
        <v/>
      </c>
      <c r="AD34" s="34" t="str">
        <f t="shared" si="4"/>
        <v/>
      </c>
    </row>
    <row r="35" spans="1:30">
      <c r="A35" s="32"/>
      <c r="C35"/>
    </row>
    <row r="36" spans="1:30">
      <c r="A36" s="32"/>
      <c r="C36"/>
      <c r="AC36" s="34" t="str">
        <f t="shared" ref="AC36:AD40" si="5">IF(OR(AC$14="",$E36=""),"",AB36)</f>
        <v/>
      </c>
      <c r="AD36" s="34" t="str">
        <f t="shared" si="5"/>
        <v/>
      </c>
    </row>
    <row r="37" spans="1:30">
      <c r="A37" s="32"/>
      <c r="C37"/>
      <c r="AC37" s="34" t="str">
        <f t="shared" si="5"/>
        <v/>
      </c>
      <c r="AD37" s="34" t="str">
        <f t="shared" si="5"/>
        <v/>
      </c>
    </row>
    <row r="38" spans="1:30">
      <c r="A38" s="32"/>
      <c r="C38"/>
      <c r="AC38" s="34" t="str">
        <f t="shared" si="5"/>
        <v/>
      </c>
      <c r="AD38" s="34" t="str">
        <f t="shared" si="5"/>
        <v/>
      </c>
    </row>
    <row r="39" spans="1:30">
      <c r="A39" s="32"/>
      <c r="C39"/>
      <c r="AC39" s="34" t="str">
        <f t="shared" si="5"/>
        <v/>
      </c>
      <c r="AD39" s="34" t="str">
        <f t="shared" si="5"/>
        <v/>
      </c>
    </row>
    <row r="40" spans="1:30">
      <c r="A40" s="32"/>
      <c r="C40"/>
      <c r="AC40" s="34" t="str">
        <f t="shared" si="5"/>
        <v/>
      </c>
      <c r="AD40" s="34" t="str">
        <f t="shared" si="5"/>
        <v/>
      </c>
    </row>
    <row r="41" spans="1:30">
      <c r="A41" s="32"/>
      <c r="C41"/>
      <c r="D41" s="35" t="str">
        <f t="shared" ref="D41:D64" si="6">IF(A41&lt;&gt;"","Planned","")</f>
        <v/>
      </c>
      <c r="F41" s="34" t="str">
        <f t="shared" ref="F41:F63" si="7">IF(OR(F$14="",$E41=""),"",E41)</f>
        <v/>
      </c>
      <c r="AC41" s="34" t="str">
        <f t="shared" ref="AC41:AD59" si="8">IF(OR(AC$14="",$E41=""),"",AB41)</f>
        <v/>
      </c>
      <c r="AD41" s="34" t="str">
        <f t="shared" si="8"/>
        <v/>
      </c>
    </row>
    <row r="42" spans="1:30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>
      <c r="C59"/>
      <c r="D59" s="35" t="str">
        <f t="shared" si="6"/>
        <v/>
      </c>
      <c r="F59" s="34" t="str">
        <f t="shared" si="7"/>
        <v/>
      </c>
      <c r="AC59" s="34" t="str">
        <f t="shared" si="8"/>
        <v/>
      </c>
      <c r="AD59" s="34" t="str">
        <f t="shared" si="8"/>
        <v/>
      </c>
    </row>
    <row r="60" spans="3:30">
      <c r="C60"/>
      <c r="D60" s="35" t="str">
        <f t="shared" si="6"/>
        <v/>
      </c>
      <c r="F60" s="34" t="str">
        <f t="shared" si="7"/>
        <v/>
      </c>
      <c r="AC60" s="34" t="str">
        <f t="shared" ref="AC60:AD63" si="9">IF(OR(AC$14="",$E60=""),"",AB60)</f>
        <v/>
      </c>
      <c r="AD60" s="34" t="str">
        <f t="shared" si="9"/>
        <v/>
      </c>
    </row>
    <row r="61" spans="3:30">
      <c r="C61"/>
      <c r="D61" s="35" t="str">
        <f t="shared" si="6"/>
        <v/>
      </c>
      <c r="F61" s="34" t="str">
        <f t="shared" si="7"/>
        <v/>
      </c>
      <c r="AC61" s="34" t="str">
        <f t="shared" si="9"/>
        <v/>
      </c>
      <c r="AD61" s="34" t="str">
        <f t="shared" si="9"/>
        <v/>
      </c>
    </row>
    <row r="62" spans="3:30">
      <c r="C62"/>
      <c r="D62" s="35" t="str">
        <f t="shared" si="6"/>
        <v/>
      </c>
      <c r="F62" s="34" t="str">
        <f t="shared" si="7"/>
        <v/>
      </c>
      <c r="G62" s="34" t="str">
        <f t="shared" ref="G62:AB62" si="10">IF(OR(G$14="",$E62=""),"",F62)</f>
        <v/>
      </c>
      <c r="H62" s="34" t="str">
        <f t="shared" si="10"/>
        <v/>
      </c>
      <c r="I62" s="34" t="str">
        <f t="shared" si="10"/>
        <v/>
      </c>
      <c r="J62" s="34" t="str">
        <f t="shared" si="10"/>
        <v/>
      </c>
      <c r="K62" s="34" t="str">
        <f t="shared" si="10"/>
        <v/>
      </c>
      <c r="L62" s="34" t="str">
        <f t="shared" si="10"/>
        <v/>
      </c>
      <c r="M62" s="34" t="str">
        <f t="shared" si="10"/>
        <v/>
      </c>
      <c r="N62" s="34" t="str">
        <f t="shared" si="10"/>
        <v/>
      </c>
      <c r="O62" s="34" t="str">
        <f t="shared" si="10"/>
        <v/>
      </c>
      <c r="P62" s="34" t="str">
        <f t="shared" si="10"/>
        <v/>
      </c>
      <c r="Q62" s="34" t="str">
        <f t="shared" si="10"/>
        <v/>
      </c>
      <c r="R62" s="34" t="str">
        <f t="shared" si="10"/>
        <v/>
      </c>
      <c r="S62" s="34" t="str">
        <f t="shared" si="10"/>
        <v/>
      </c>
      <c r="T62" s="34" t="str">
        <f t="shared" si="10"/>
        <v/>
      </c>
      <c r="U62" s="34" t="str">
        <f t="shared" si="10"/>
        <v/>
      </c>
      <c r="V62" s="34" t="str">
        <f t="shared" si="10"/>
        <v/>
      </c>
      <c r="W62" s="34" t="str">
        <f t="shared" si="10"/>
        <v/>
      </c>
      <c r="X62" s="34" t="str">
        <f t="shared" si="10"/>
        <v/>
      </c>
      <c r="Y62" s="34" t="str">
        <f t="shared" si="10"/>
        <v/>
      </c>
      <c r="Z62" s="34" t="str">
        <f t="shared" si="10"/>
        <v/>
      </c>
      <c r="AA62" s="34" t="str">
        <f t="shared" si="10"/>
        <v/>
      </c>
      <c r="AB62" s="34" t="str">
        <f t="shared" si="10"/>
        <v/>
      </c>
      <c r="AC62" s="34" t="str">
        <f t="shared" si="9"/>
        <v/>
      </c>
      <c r="AD62" s="34" t="str">
        <f t="shared" si="9"/>
        <v/>
      </c>
    </row>
    <row r="63" spans="3:30">
      <c r="C63"/>
      <c r="D63" s="35" t="str">
        <f t="shared" si="6"/>
        <v/>
      </c>
      <c r="F63" s="34" t="str">
        <f t="shared" si="7"/>
        <v/>
      </c>
      <c r="G63" s="34" t="str">
        <f t="shared" ref="G63:AB63" si="11">IF(OR(G$14="",$E63=""),"",F63)</f>
        <v/>
      </c>
      <c r="H63" s="34" t="str">
        <f t="shared" si="11"/>
        <v/>
      </c>
      <c r="I63" s="34" t="str">
        <f t="shared" si="11"/>
        <v/>
      </c>
      <c r="J63" s="34" t="str">
        <f t="shared" si="11"/>
        <v/>
      </c>
      <c r="K63" s="34" t="str">
        <f t="shared" si="11"/>
        <v/>
      </c>
      <c r="L63" s="34" t="str">
        <f t="shared" si="11"/>
        <v/>
      </c>
      <c r="M63" s="34" t="str">
        <f t="shared" si="11"/>
        <v/>
      </c>
      <c r="N63" s="34" t="str">
        <f t="shared" si="11"/>
        <v/>
      </c>
      <c r="O63" s="34" t="str">
        <f t="shared" si="11"/>
        <v/>
      </c>
      <c r="P63" s="34" t="str">
        <f t="shared" si="11"/>
        <v/>
      </c>
      <c r="Q63" s="34" t="str">
        <f t="shared" si="11"/>
        <v/>
      </c>
      <c r="R63" s="34" t="str">
        <f t="shared" si="11"/>
        <v/>
      </c>
      <c r="S63" s="34" t="str">
        <f t="shared" si="11"/>
        <v/>
      </c>
      <c r="T63" s="34" t="str">
        <f t="shared" si="11"/>
        <v/>
      </c>
      <c r="U63" s="34" t="str">
        <f t="shared" si="11"/>
        <v/>
      </c>
      <c r="V63" s="34" t="str">
        <f t="shared" si="11"/>
        <v/>
      </c>
      <c r="W63" s="34" t="str">
        <f t="shared" si="11"/>
        <v/>
      </c>
      <c r="X63" s="34" t="str">
        <f t="shared" si="11"/>
        <v/>
      </c>
      <c r="Y63" s="34" t="str">
        <f t="shared" si="11"/>
        <v/>
      </c>
      <c r="Z63" s="34" t="str">
        <f t="shared" si="11"/>
        <v/>
      </c>
      <c r="AA63" s="34" t="str">
        <f t="shared" si="11"/>
        <v/>
      </c>
      <c r="AB63" s="34" t="str">
        <f t="shared" si="11"/>
        <v/>
      </c>
      <c r="AC63" s="34" t="str">
        <f t="shared" si="9"/>
        <v/>
      </c>
      <c r="AD63" s="34" t="str">
        <f t="shared" si="9"/>
        <v/>
      </c>
    </row>
    <row r="64" spans="3:30">
      <c r="C64"/>
      <c r="D64" s="35" t="str">
        <f t="shared" si="6"/>
        <v/>
      </c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</sheetData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D64"/>
  <sheetViews>
    <sheetView workbookViewId="0">
      <pane ySplit="14" topLeftCell="A15" activePane="bottomLeft" state="frozen"/>
      <selection pane="bottomLeft" activeCell="J31" sqref="J31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4</v>
      </c>
      <c r="F10" s="17">
        <f ca="1">IF(AND(SUM(OFFSET(F14,1,0,TaskRows,1))=0),0,SUM(OFFSET(F14,1,0,TaskRows,1)))</f>
        <v>4</v>
      </c>
      <c r="G10" s="17">
        <f t="shared" ref="G10:AD10" ca="1" si="0">IF(AND(SUM(OFFSET(G14,1,0,TaskRows,1))=0),"",SUM(OFFSET(G14,1,0,TaskRows,1)))</f>
        <v>3</v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2</v>
      </c>
      <c r="F11" s="2">
        <f ca="1">IF(F14="","",$E10-$E10/($B9-1)*(F14-1))</f>
        <v>4</v>
      </c>
      <c r="G11" s="2">
        <f t="shared" ref="G11:AD11" ca="1" si="1">IF(G14="","",TotalEffort-TotalEffort/(ImplementationDays)*(G14-1))</f>
        <v>3.2</v>
      </c>
      <c r="H11" s="2">
        <f t="shared" ca="1" si="1"/>
        <v>2.4</v>
      </c>
      <c r="I11" s="2">
        <f t="shared" ca="1" si="1"/>
        <v>1.5999999999999996</v>
      </c>
      <c r="J11" s="2">
        <f t="shared" ca="1" si="1"/>
        <v>0.79999999999999982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</v>
      </c>
      <c r="G12" s="2">
        <f t="shared" ca="1" si="2"/>
        <v>3</v>
      </c>
      <c r="H12" s="2">
        <f t="shared" ca="1" si="2"/>
        <v>2</v>
      </c>
      <c r="I12" s="2">
        <f t="shared" ca="1" si="2"/>
        <v>1</v>
      </c>
      <c r="J12" s="2">
        <f t="shared" ca="1" si="2"/>
        <v>0</v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6" t="s">
        <v>27</v>
      </c>
      <c r="B13"/>
      <c r="C13" t="s">
        <v>25</v>
      </c>
      <c r="D13" s="2">
        <f ca="1">IF(DoneDays&gt;B10,B10,DoneDays)</f>
        <v>2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t="s">
        <v>102</v>
      </c>
      <c r="B15" s="2">
        <v>1</v>
      </c>
      <c r="D15" t="s">
        <v>82</v>
      </c>
      <c r="E15" s="2">
        <v>4</v>
      </c>
      <c r="F15" s="2">
        <f>IF(OR(F$14="",$E15=""),"",E15)</f>
        <v>4</v>
      </c>
      <c r="G15" s="2">
        <v>3</v>
      </c>
    </row>
    <row r="16" spans="1:30">
      <c r="D16" t="str">
        <f t="shared" ref="D15:D59" si="4">IF(A16&lt;&gt;"","Planned","")</f>
        <v/>
      </c>
      <c r="F16" s="2" t="str">
        <f t="shared" ref="F15:F59" si="5">IF(OR(F$14="",$E16=""),"",E16)</f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disablePrompts="1"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F30"/>
  <sheetViews>
    <sheetView workbookViewId="0"/>
  </sheetViews>
  <sheetFormatPr defaultRowHeight="12.75"/>
  <cols>
    <col min="1" max="3" width="9.140625" style="35"/>
    <col min="4" max="4" width="32.7109375" style="35" customWidth="1"/>
    <col min="5" max="5" width="9.140625" style="35"/>
    <col min="6" max="6" width="32.7109375" style="35" customWidth="1"/>
    <col min="7" max="16384" width="9.140625" style="35"/>
  </cols>
  <sheetData>
    <row r="1" spans="1:6">
      <c r="A1" s="84" t="s">
        <v>97</v>
      </c>
      <c r="B1" s="100">
        <v>1</v>
      </c>
      <c r="C1" s="85" t="s">
        <v>98</v>
      </c>
      <c r="D1" s="86" t="s">
        <v>85</v>
      </c>
      <c r="E1" s="86"/>
      <c r="F1" s="87"/>
    </row>
    <row r="2" spans="1:6">
      <c r="A2" s="88" t="s">
        <v>99</v>
      </c>
      <c r="B2" s="81" t="s">
        <v>80</v>
      </c>
      <c r="C2" s="81"/>
      <c r="D2" s="81"/>
      <c r="E2" s="81"/>
      <c r="F2" s="89"/>
    </row>
    <row r="3" spans="1:6">
      <c r="A3" s="90"/>
      <c r="B3" s="82"/>
      <c r="C3" s="82"/>
      <c r="D3" s="82"/>
      <c r="E3" s="82"/>
      <c r="F3" s="91"/>
    </row>
    <row r="4" spans="1:6">
      <c r="A4" s="92"/>
      <c r="B4" s="83"/>
      <c r="C4" s="83"/>
      <c r="D4" s="83"/>
      <c r="E4" s="83"/>
      <c r="F4" s="93"/>
    </row>
    <row r="5" spans="1:6">
      <c r="A5" s="98" t="str">
        <f>CONCATENATE("Responsible Person: ",'Sp1'!C15)</f>
        <v>Responsible Person: Erik M</v>
      </c>
      <c r="B5" s="80"/>
      <c r="C5" s="80"/>
      <c r="D5" s="80"/>
      <c r="E5" s="80"/>
      <c r="F5" s="99"/>
    </row>
    <row r="6" spans="1:6" ht="26.25" thickBot="1">
      <c r="A6" s="94" t="s">
        <v>96</v>
      </c>
      <c r="B6" s="101">
        <v>5</v>
      </c>
      <c r="C6" s="96" t="s">
        <v>101</v>
      </c>
      <c r="D6" s="95"/>
      <c r="E6" s="96" t="s">
        <v>100</v>
      </c>
      <c r="F6" s="97"/>
    </row>
    <row r="8" spans="1:6" ht="13.5" thickBot="1"/>
    <row r="9" spans="1:6">
      <c r="A9" s="84" t="s">
        <v>97</v>
      </c>
      <c r="B9" s="100">
        <v>1</v>
      </c>
      <c r="C9" s="85" t="s">
        <v>98</v>
      </c>
      <c r="D9" s="86" t="s">
        <v>85</v>
      </c>
      <c r="E9" s="86"/>
      <c r="F9" s="87"/>
    </row>
    <row r="10" spans="1:6">
      <c r="A10" s="88" t="s">
        <v>99</v>
      </c>
      <c r="B10" s="81" t="s">
        <v>81</v>
      </c>
      <c r="C10" s="81"/>
      <c r="D10" s="81"/>
      <c r="E10" s="81"/>
      <c r="F10" s="89"/>
    </row>
    <row r="11" spans="1:6">
      <c r="A11" s="90"/>
      <c r="B11" s="82"/>
      <c r="C11" s="82"/>
      <c r="D11" s="82"/>
      <c r="E11" s="82"/>
      <c r="F11" s="91"/>
    </row>
    <row r="12" spans="1:6">
      <c r="A12" s="92"/>
      <c r="B12" s="83"/>
      <c r="C12" s="83"/>
      <c r="D12" s="83"/>
      <c r="E12" s="83"/>
      <c r="F12" s="93"/>
    </row>
    <row r="13" spans="1:6">
      <c r="A13" s="98" t="str">
        <f>CONCATENATE("Responsible Person: ",'Sp1'!C16)</f>
        <v xml:space="preserve">Responsible Person: </v>
      </c>
      <c r="B13" s="80"/>
      <c r="C13" s="80"/>
      <c r="D13" s="80"/>
      <c r="E13" s="80"/>
      <c r="F13" s="99"/>
    </row>
    <row r="14" spans="1:6" ht="26.25" thickBot="1">
      <c r="A14" s="94" t="s">
        <v>96</v>
      </c>
      <c r="B14" s="101">
        <v>7</v>
      </c>
      <c r="C14" s="96" t="s">
        <v>101</v>
      </c>
      <c r="D14" s="95"/>
      <c r="E14" s="96" t="s">
        <v>100</v>
      </c>
      <c r="F14" s="97"/>
    </row>
    <row r="16" spans="1:6" ht="13.5" thickBot="1"/>
    <row r="17" spans="1:6">
      <c r="A17" s="84" t="s">
        <v>97</v>
      </c>
      <c r="B17" s="100">
        <v>2</v>
      </c>
      <c r="C17" s="85" t="s">
        <v>98</v>
      </c>
      <c r="D17" s="86" t="s">
        <v>86</v>
      </c>
      <c r="E17" s="86"/>
      <c r="F17" s="87"/>
    </row>
    <row r="18" spans="1:6">
      <c r="A18" s="88" t="s">
        <v>99</v>
      </c>
      <c r="B18" s="81" t="s">
        <v>83</v>
      </c>
      <c r="C18" s="81"/>
      <c r="D18" s="81"/>
      <c r="E18" s="81"/>
      <c r="F18" s="89"/>
    </row>
    <row r="19" spans="1:6">
      <c r="A19" s="90"/>
      <c r="B19" s="82"/>
      <c r="C19" s="82"/>
      <c r="D19" s="82"/>
      <c r="E19" s="82"/>
      <c r="F19" s="91"/>
    </row>
    <row r="20" spans="1:6">
      <c r="A20" s="92"/>
      <c r="B20" s="83"/>
      <c r="C20" s="83"/>
      <c r="D20" s="83"/>
      <c r="E20" s="83"/>
      <c r="F20" s="93"/>
    </row>
    <row r="21" spans="1:6">
      <c r="A21" s="98" t="str">
        <f>CONCATENATE("Responsible Person: ",'Sp1'!C17)</f>
        <v xml:space="preserve">Responsible Person: </v>
      </c>
      <c r="B21" s="80"/>
      <c r="C21" s="80"/>
      <c r="D21" s="80"/>
      <c r="E21" s="80"/>
      <c r="F21" s="99"/>
    </row>
    <row r="22" spans="1:6" ht="26.25" thickBot="1">
      <c r="A22" s="94" t="s">
        <v>96</v>
      </c>
      <c r="B22" s="101">
        <v>12</v>
      </c>
      <c r="C22" s="96" t="s">
        <v>101</v>
      </c>
      <c r="D22" s="95"/>
      <c r="E22" s="96" t="s">
        <v>100</v>
      </c>
      <c r="F22" s="97"/>
    </row>
    <row r="24" spans="1:6" ht="13.5" thickBot="1"/>
    <row r="25" spans="1:6">
      <c r="A25" s="84" t="s">
        <v>97</v>
      </c>
      <c r="B25" s="100">
        <v>2</v>
      </c>
      <c r="C25" s="85" t="s">
        <v>98</v>
      </c>
      <c r="D25" s="86" t="s">
        <v>86</v>
      </c>
      <c r="E25" s="86"/>
      <c r="F25" s="87"/>
    </row>
    <row r="26" spans="1:6">
      <c r="A26" s="88" t="s">
        <v>99</v>
      </c>
      <c r="B26" s="81" t="s">
        <v>84</v>
      </c>
      <c r="C26" s="81"/>
      <c r="D26" s="81"/>
      <c r="E26" s="81"/>
      <c r="F26" s="89"/>
    </row>
    <row r="27" spans="1:6">
      <c r="A27" s="90"/>
      <c r="B27" s="82"/>
      <c r="C27" s="82"/>
      <c r="D27" s="82"/>
      <c r="E27" s="82"/>
      <c r="F27" s="91"/>
    </row>
    <row r="28" spans="1:6">
      <c r="A28" s="92"/>
      <c r="B28" s="83"/>
      <c r="C28" s="83"/>
      <c r="D28" s="83"/>
      <c r="E28" s="83"/>
      <c r="F28" s="93"/>
    </row>
    <row r="29" spans="1:6">
      <c r="A29" s="98" t="str">
        <f>CONCATENATE("Responsible Person: ",'Sp1'!C18)</f>
        <v xml:space="preserve">Responsible Person: </v>
      </c>
      <c r="B29" s="80"/>
      <c r="C29" s="80"/>
      <c r="D29" s="80"/>
      <c r="E29" s="80"/>
      <c r="F29" s="99"/>
    </row>
    <row r="30" spans="1:6" ht="26.25" thickBot="1">
      <c r="A30" s="94" t="s">
        <v>96</v>
      </c>
      <c r="B30" s="101">
        <v>9</v>
      </c>
      <c r="C30" s="96" t="s">
        <v>101</v>
      </c>
      <c r="D30" s="95"/>
      <c r="E30" s="96" t="s">
        <v>100</v>
      </c>
      <c r="F3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Release Plan</vt:lpstr>
      <vt:lpstr>Product Backlog</vt:lpstr>
      <vt:lpstr>PB Burndown</vt:lpstr>
      <vt:lpstr>Sp1</vt:lpstr>
      <vt:lpstr>Sprint Sheet Template</vt:lpstr>
      <vt:lpstr>Task Slips</vt:lpstr>
      <vt:lpstr>Sheet1</vt:lpstr>
      <vt:lpstr>Sp1!DoneDays</vt:lpstr>
      <vt:lpstr>'Sprint Sheet Template'!DoneDays</vt:lpstr>
      <vt:lpstr>Sp1!ImplementationDays</vt:lpstr>
      <vt:lpstr>'Sprint Sheet Template'!ImplementationDays</vt:lpstr>
      <vt:lpstr>'Product Backlog'!Print_Area</vt:lpstr>
      <vt:lpstr>ProductBacklog</vt:lpstr>
      <vt:lpstr>Sprint</vt:lpstr>
      <vt:lpstr>SprintCount</vt:lpstr>
      <vt:lpstr>SprintsInTrend</vt:lpstr>
      <vt:lpstr>Sp1!SprintTasks</vt:lpstr>
      <vt:lpstr>SprintTasks</vt:lpstr>
      <vt:lpstr>Status</vt:lpstr>
      <vt:lpstr>StoryName</vt:lpstr>
      <vt:lpstr>Sp1!TaskRows</vt:lpstr>
      <vt:lpstr>'Sprint Sheet Template'!TaskRows</vt:lpstr>
      <vt:lpstr>Sp1!TaskStatus</vt:lpstr>
      <vt:lpstr>TaskStatus</vt:lpstr>
      <vt:lpstr>Sp1!TaskStoryID</vt:lpstr>
      <vt:lpstr>TaskStoryID</vt:lpstr>
      <vt:lpstr>Sp1!TotalEffort</vt:lpstr>
      <vt:lpstr>'Sprint Sheet Template'!TotalEffort</vt:lpstr>
      <vt:lpstr>Sp1!TrendDays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em222iv</cp:lastModifiedBy>
  <cp:revision>1</cp:revision>
  <cp:lastPrinted>2006-09-01T14:59:00Z</cp:lastPrinted>
  <dcterms:created xsi:type="dcterms:W3CDTF">1998-06-05T11:20:44Z</dcterms:created>
  <dcterms:modified xsi:type="dcterms:W3CDTF">2014-04-09T15:48:33Z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